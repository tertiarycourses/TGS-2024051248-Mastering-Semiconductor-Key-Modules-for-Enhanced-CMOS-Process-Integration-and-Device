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Window" sheetId="1" state="visible" r:id="rId1"/>
  </sheets>
  <definedNames>
    <definedName name="_xlnm._FilterDatabase" localSheetId="0" hidden="1">'Process Window'!$A$3:$H$13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2344D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Lithography-to-Etch Process Window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Run</t>
        </is>
      </c>
      <c r="B3" s="3" t="inlineStr">
        <is>
          <t>Focus (um)</t>
        </is>
      </c>
      <c r="C3" s="3" t="inlineStr">
        <is>
          <t>Dose (mJ/cm2)</t>
        </is>
      </c>
      <c r="D3" s="3" t="inlineStr">
        <is>
          <t>Develop CD (nm)</t>
        </is>
      </c>
      <c r="E3" s="3" t="inlineStr">
        <is>
          <t>Etch bias (nm)</t>
        </is>
      </c>
      <c r="F3" s="3" t="inlineStr">
        <is>
          <t>Post-etch CD (nm)</t>
        </is>
      </c>
      <c r="G3" s="3" t="inlineStr">
        <is>
          <t>Target status</t>
        </is>
      </c>
      <c r="H3" s="3" t="inlineStr">
        <is>
          <t>Spatial zone</t>
        </is>
      </c>
    </row>
    <row r="4">
      <c r="A4" s="4" t="n">
        <v>1</v>
      </c>
      <c r="B4" s="4" t="n">
        <v>-0.12</v>
      </c>
      <c r="C4" s="4" t="n">
        <v>18</v>
      </c>
      <c r="D4" s="4" t="n">
        <v>91</v>
      </c>
      <c r="E4" s="4" t="n">
        <v>-8</v>
      </c>
      <c r="F4" s="4">
        <f>D4+E4</f>
        <v/>
      </c>
      <c r="G4" s="4">
        <f>IF(AND(F4&gt;=88,F4&lt;=112),"PASS","FAIL")</f>
        <v/>
      </c>
      <c r="H4" s="4" t="inlineStr">
        <is>
          <t>Centre</t>
        </is>
      </c>
    </row>
    <row r="5">
      <c r="A5" s="4" t="n">
        <v>2</v>
      </c>
      <c r="B5" s="4" t="n">
        <v>-0.08</v>
      </c>
      <c r="C5" s="4" t="n">
        <v>20</v>
      </c>
      <c r="D5" s="4" t="n">
        <v>95</v>
      </c>
      <c r="E5" s="4" t="n">
        <v>-7</v>
      </c>
      <c r="F5" s="4">
        <f>D5+E5</f>
        <v/>
      </c>
      <c r="G5" s="4">
        <f>IF(AND(F5&gt;=88,F5&lt;=112),"PASS","FAIL")</f>
        <v/>
      </c>
      <c r="H5" s="4" t="inlineStr">
        <is>
          <t>Centre</t>
        </is>
      </c>
    </row>
    <row r="6">
      <c r="A6" s="4" t="n">
        <v>3</v>
      </c>
      <c r="B6" s="4" t="n">
        <v>-0.04</v>
      </c>
      <c r="C6" s="4" t="n">
        <v>22</v>
      </c>
      <c r="D6" s="4" t="n">
        <v>99</v>
      </c>
      <c r="E6" s="4" t="n">
        <v>-6</v>
      </c>
      <c r="F6" s="4">
        <f>D6+E6</f>
        <v/>
      </c>
      <c r="G6" s="4">
        <f>IF(AND(F6&gt;=88,F6&lt;=112),"PASS","FAIL")</f>
        <v/>
      </c>
      <c r="H6" s="4" t="inlineStr">
        <is>
          <t>Centre</t>
        </is>
      </c>
    </row>
    <row r="7">
      <c r="A7" s="4" t="n">
        <v>4</v>
      </c>
      <c r="B7" s="4" t="n">
        <v>0</v>
      </c>
      <c r="C7" s="4" t="n">
        <v>24</v>
      </c>
      <c r="D7" s="4" t="n">
        <v>103</v>
      </c>
      <c r="E7" s="4" t="n">
        <v>-5</v>
      </c>
      <c r="F7" s="4">
        <f>D7+E7</f>
        <v/>
      </c>
      <c r="G7" s="4">
        <f>IF(AND(F7&gt;=88,F7&lt;=112),"PASS","FAIL")</f>
        <v/>
      </c>
      <c r="H7" s="4" t="inlineStr">
        <is>
          <t>Centre</t>
        </is>
      </c>
    </row>
    <row r="8">
      <c r="A8" s="4" t="n">
        <v>5</v>
      </c>
      <c r="B8" s="4" t="n">
        <v>0.04</v>
      </c>
      <c r="C8" s="4" t="n">
        <v>26</v>
      </c>
      <c r="D8" s="4" t="n">
        <v>108</v>
      </c>
      <c r="E8" s="4" t="n">
        <v>-5</v>
      </c>
      <c r="F8" s="4">
        <f>D8+E8</f>
        <v/>
      </c>
      <c r="G8" s="4">
        <f>IF(AND(F8&gt;=88,F8&lt;=112),"PASS","FAIL")</f>
        <v/>
      </c>
      <c r="H8" s="4" t="inlineStr">
        <is>
          <t>Centre</t>
        </is>
      </c>
    </row>
    <row r="9">
      <c r="A9" s="4" t="n">
        <v>6</v>
      </c>
      <c r="B9" s="4" t="n">
        <v>0.08</v>
      </c>
      <c r="C9" s="4" t="n">
        <v>28</v>
      </c>
      <c r="D9" s="4" t="n">
        <v>114</v>
      </c>
      <c r="E9" s="4" t="n">
        <v>-4</v>
      </c>
      <c r="F9" s="4">
        <f>D9+E9</f>
        <v/>
      </c>
      <c r="G9" s="4">
        <f>IF(AND(F9&gt;=88,F9&lt;=112),"PASS","FAIL")</f>
        <v/>
      </c>
      <c r="H9" s="4" t="inlineStr">
        <is>
          <t>Edge</t>
        </is>
      </c>
    </row>
    <row r="10">
      <c r="A10" s="4" t="n">
        <v>7</v>
      </c>
      <c r="B10" s="4" t="n">
        <v>0.12</v>
      </c>
      <c r="C10" s="4" t="n">
        <v>30</v>
      </c>
      <c r="D10" s="4" t="n">
        <v>121</v>
      </c>
      <c r="E10" s="4" t="n">
        <v>-3</v>
      </c>
      <c r="F10" s="4">
        <f>D10+E10</f>
        <v/>
      </c>
      <c r="G10" s="4">
        <f>IF(AND(F10&gt;=88,F10&lt;=112),"PASS","FAIL")</f>
        <v/>
      </c>
      <c r="H10" s="4" t="inlineStr">
        <is>
          <t>Edge</t>
        </is>
      </c>
    </row>
    <row r="11">
      <c r="A11" s="4" t="n">
        <v>8</v>
      </c>
      <c r="B11" s="4" t="n">
        <v>-0.1</v>
      </c>
      <c r="C11" s="4" t="n">
        <v>26</v>
      </c>
      <c r="D11" s="4" t="n">
        <v>110</v>
      </c>
      <c r="E11" s="4" t="n">
        <v>-9</v>
      </c>
      <c r="F11" s="4">
        <f>D11+E11</f>
        <v/>
      </c>
      <c r="G11" s="4">
        <f>IF(AND(F11&gt;=88,F11&lt;=112),"PASS","FAIL")</f>
        <v/>
      </c>
      <c r="H11" s="4" t="inlineStr">
        <is>
          <t>Edge</t>
        </is>
      </c>
    </row>
    <row r="12">
      <c r="A12" s="4" t="n">
        <v>9</v>
      </c>
      <c r="B12" s="4" t="n">
        <v>0.02</v>
      </c>
      <c r="C12" s="4" t="n">
        <v>22</v>
      </c>
      <c r="D12" s="4" t="n">
        <v>100</v>
      </c>
      <c r="E12" s="4" t="n">
        <v>-6</v>
      </c>
      <c r="F12" s="4">
        <f>D12+E12</f>
        <v/>
      </c>
      <c r="G12" s="4">
        <f>IF(AND(F12&gt;=88,F12&lt;=112),"PASS","FAIL")</f>
        <v/>
      </c>
      <c r="H12" s="4" t="inlineStr">
        <is>
          <t>Centre</t>
        </is>
      </c>
    </row>
    <row r="13">
      <c r="A13" s="4" t="n">
        <v>10</v>
      </c>
      <c r="B13" s="4" t="n">
        <v>0.06</v>
      </c>
      <c r="C13" s="4" t="n">
        <v>24</v>
      </c>
      <c r="D13" s="4" t="n">
        <v>106</v>
      </c>
      <c r="E13" s="4" t="n">
        <v>-7</v>
      </c>
      <c r="F13" s="4">
        <f>D13+E13</f>
        <v/>
      </c>
      <c r="G13" s="4">
        <f>IF(AND(F13&gt;=88,F13&lt;=112),"PASS","FAIL")</f>
        <v/>
      </c>
      <c r="H13" s="4" t="inlineStr">
        <is>
          <t>Edge</t>
        </is>
      </c>
    </row>
  </sheetData>
  <autoFilter ref="A3:H1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2026-08-19T17:35:54Z</dcterms:created>
  <dcterms:modified xmlns:dcterms="http://purl.org/dc/terms/" xmlns:xsi="http://www.w3.org/2001/XMLSchema-instance" xsi:type="dcterms:W3CDTF">2026-08-19T17:35:54Z</dcterms:modified>
</cp:coreProperties>
</file>