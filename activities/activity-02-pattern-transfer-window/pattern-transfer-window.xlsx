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cess Window" sheetId="1" state="visible" r:id="rId3"/>
  </sheets>
  <definedNames>
    <definedName function="false" hidden="true" localSheetId="0" name="_xlnm._FilterDatabase" vbProcedure="false">'Process Window'!$A$3:$H$13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<sst xmlns="http://schemas.openxmlformats.org/spreadsheetml/2006/main" count="19" uniqueCount="11">
  <si>
    <t xml:space="preserve">Lithography-to-Etch Process Window</t>
  </si>
  <si>
    <t xml:space="preserve">Run</t>
  </si>
  <si>
    <t xml:space="preserve">Focus (um)</t>
  </si>
  <si>
    <t xml:space="preserve">Dose (mJ/cm2)</t>
  </si>
  <si>
    <t xml:space="preserve">Develop CD (nm)</t>
  </si>
  <si>
    <t xml:space="preserve">Etch bias (nm)</t>
  </si>
  <si>
    <t xml:space="preserve">Post-etch CD (nm)</t>
  </si>
  <si>
    <t xml:space="preserve">Target status</t>
  </si>
  <si>
    <t xml:space="preserve">Spatial zone</t>
  </si>
  <si>
    <t xml:space="preserve">Centre</t>
  </si>
  <si>
    <t xml:space="preserve">Edge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</si>
</sst>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2344D"/>
        <bgColor rgb="FF333333"/>
      </patternFill>
    </fill>
    <fill>
      <patternFill patternType="solid">
        <fgColor rgb="FF10B981"/>
        <bgColor rgb="FF33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8C5D1"/>
      </left>
      <right style="thin">
        <color rgb="FFB8C5D1"/>
      </right>
      <top style="thin">
        <color rgb="FFB8C5D1"/>
      </top>
      <bottom style="thin">
        <color rgb="FFB8C5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0B98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5D1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2344D"/>
      <rgbColor rgb="FF10B98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8" min="7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</row>
    <row r="4" customFormat="false" ht="15" hidden="false" customHeight="false" outlineLevel="0" collapsed="false">
      <c r="A4" s="4" t="n">
        <v>1</v>
      </c>
      <c r="B4" s="4" t="n">
        <v>-0.12</v>
      </c>
      <c r="C4" s="4" t="n">
        <v>18</v>
      </c>
      <c r="D4" s="4" t="n">
        <v>91</v>
      </c>
      <c r="E4" s="4" t="n">
        <v>-8</v>
      </c>
      <c r="F4" s="4" t="n">
        <f aca="false">D4+E4</f>
        <v>83</v>
      </c>
      <c r="G4" s="4" t="str">
        <f aca="false">IF(AND(F4&gt;=88,F4&lt;=112),"PASS","FAIL")</f>
        <v>FAIL</v>
      </c>
      <c r="H4" s="4" t="s">
        <v>9</v>
      </c>
    </row>
    <row r="5" customFormat="false" ht="15" hidden="false" customHeight="false" outlineLevel="0" collapsed="false">
      <c r="A5" s="4" t="n">
        <v>2</v>
      </c>
      <c r="B5" s="4" t="n">
        <v>-0.08</v>
      </c>
      <c r="C5" s="4" t="n">
        <v>20</v>
      </c>
      <c r="D5" s="4" t="n">
        <v>95</v>
      </c>
      <c r="E5" s="4" t="n">
        <v>-7</v>
      </c>
      <c r="F5" s="4" t="n">
        <f aca="false">D5+E5</f>
        <v>88</v>
      </c>
      <c r="G5" s="4" t="str">
        <f aca="false">IF(AND(F5&gt;=88,F5&lt;=112),"PASS","FAIL")</f>
        <v>PASS</v>
      </c>
      <c r="H5" s="4" t="s">
        <v>9</v>
      </c>
    </row>
    <row r="6" customFormat="false" ht="15" hidden="false" customHeight="false" outlineLevel="0" collapsed="false">
      <c r="A6" s="4" t="n">
        <v>3</v>
      </c>
      <c r="B6" s="4" t="n">
        <v>-0.04</v>
      </c>
      <c r="C6" s="4" t="n">
        <v>22</v>
      </c>
      <c r="D6" s="4" t="n">
        <v>99</v>
      </c>
      <c r="E6" s="4" t="n">
        <v>-6</v>
      </c>
      <c r="F6" s="4" t="n">
        <f aca="false">D6+E6</f>
        <v>93</v>
      </c>
      <c r="G6" s="4" t="str">
        <f aca="false">IF(AND(F6&gt;=88,F6&lt;=112),"PASS","FAIL")</f>
        <v>PASS</v>
      </c>
      <c r="H6" s="4" t="s">
        <v>9</v>
      </c>
    </row>
    <row r="7" customFormat="false" ht="15" hidden="false" customHeight="false" outlineLevel="0" collapsed="false">
      <c r="A7" s="4" t="n">
        <v>4</v>
      </c>
      <c r="B7" s="4" t="n">
        <v>0</v>
      </c>
      <c r="C7" s="4" t="n">
        <v>24</v>
      </c>
      <c r="D7" s="4" t="n">
        <v>103</v>
      </c>
      <c r="E7" s="4" t="n">
        <v>-5</v>
      </c>
      <c r="F7" s="4" t="n">
        <f aca="false">D7+E7</f>
        <v>98</v>
      </c>
      <c r="G7" s="4" t="str">
        <f aca="false">IF(AND(F7&gt;=88,F7&lt;=112),"PASS","FAIL")</f>
        <v>PASS</v>
      </c>
      <c r="H7" s="4" t="s">
        <v>9</v>
      </c>
    </row>
    <row r="8" customFormat="false" ht="15" hidden="false" customHeight="false" outlineLevel="0" collapsed="false">
      <c r="A8" s="4" t="n">
        <v>5</v>
      </c>
      <c r="B8" s="4" t="n">
        <v>0.04</v>
      </c>
      <c r="C8" s="4" t="n">
        <v>26</v>
      </c>
      <c r="D8" s="4" t="n">
        <v>108</v>
      </c>
      <c r="E8" s="4" t="n">
        <v>-5</v>
      </c>
      <c r="F8" s="4" t="n">
        <f aca="false">D8+E8</f>
        <v>103</v>
      </c>
      <c r="G8" s="4" t="str">
        <f aca="false">IF(AND(F8&gt;=88,F8&lt;=112),"PASS","FAIL")</f>
        <v>PASS</v>
      </c>
      <c r="H8" s="4" t="s">
        <v>9</v>
      </c>
    </row>
    <row r="9" customFormat="false" ht="15" hidden="false" customHeight="false" outlineLevel="0" collapsed="false">
      <c r="A9" s="4" t="n">
        <v>6</v>
      </c>
      <c r="B9" s="4" t="n">
        <v>0.08</v>
      </c>
      <c r="C9" s="4" t="n">
        <v>28</v>
      </c>
      <c r="D9" s="4" t="n">
        <v>114</v>
      </c>
      <c r="E9" s="4" t="n">
        <v>-4</v>
      </c>
      <c r="F9" s="4" t="n">
        <f aca="false">D9+E9</f>
        <v>110</v>
      </c>
      <c r="G9" s="4" t="str">
        <f aca="false">IF(AND(F9&gt;=88,F9&lt;=112),"PASS","FAIL")</f>
        <v>PASS</v>
      </c>
      <c r="H9" s="4" t="s">
        <v>10</v>
      </c>
    </row>
    <row r="10" customFormat="false" ht="15" hidden="false" customHeight="false" outlineLevel="0" collapsed="false">
      <c r="A10" s="4" t="n">
        <v>7</v>
      </c>
      <c r="B10" s="4" t="n">
        <v>0.12</v>
      </c>
      <c r="C10" s="4" t="n">
        <v>30</v>
      </c>
      <c r="D10" s="4" t="n">
        <v>121</v>
      </c>
      <c r="E10" s="4" t="n">
        <v>-3</v>
      </c>
      <c r="F10" s="4" t="n">
        <f aca="false">D10+E10</f>
        <v>118</v>
      </c>
      <c r="G10" s="4" t="str">
        <f aca="false">IF(AND(F10&gt;=88,F10&lt;=112),"PASS","FAIL")</f>
        <v>FAIL</v>
      </c>
      <c r="H10" s="4" t="s">
        <v>10</v>
      </c>
    </row>
    <row r="11" customFormat="false" ht="15" hidden="false" customHeight="false" outlineLevel="0" collapsed="false">
      <c r="A11" s="4" t="n">
        <v>8</v>
      </c>
      <c r="B11" s="4" t="n">
        <v>-0.1</v>
      </c>
      <c r="C11" s="4" t="n">
        <v>26</v>
      </c>
      <c r="D11" s="4" t="n">
        <v>110</v>
      </c>
      <c r="E11" s="4" t="n">
        <v>-9</v>
      </c>
      <c r="F11" s="4" t="n">
        <f aca="false">D11+E11</f>
        <v>101</v>
      </c>
      <c r="G11" s="4" t="str">
        <f aca="false">IF(AND(F11&gt;=88,F11&lt;=112),"PASS","FAIL")</f>
        <v>PASS</v>
      </c>
      <c r="H11" s="4" t="s">
        <v>10</v>
      </c>
    </row>
    <row r="12" customFormat="false" ht="15" hidden="false" customHeight="false" outlineLevel="0" collapsed="false">
      <c r="A12" s="4" t="n">
        <v>9</v>
      </c>
      <c r="B12" s="4" t="n">
        <v>0.02</v>
      </c>
      <c r="C12" s="4" t="n">
        <v>22</v>
      </c>
      <c r="D12" s="4" t="n">
        <v>100</v>
      </c>
      <c r="E12" s="4" t="n">
        <v>-6</v>
      </c>
      <c r="F12" s="4" t="n">
        <f aca="false">D12+E12</f>
        <v>94</v>
      </c>
      <c r="G12" s="4" t="str">
        <f aca="false">IF(AND(F12&gt;=88,F12&lt;=112),"PASS","FAIL")</f>
        <v>PASS</v>
      </c>
      <c r="H12" s="4" t="s">
        <v>9</v>
      </c>
    </row>
    <row r="13" customFormat="false" ht="15" hidden="false" customHeight="false" outlineLevel="0" collapsed="false">
      <c r="A13" s="4" t="n">
        <v>10</v>
      </c>
      <c r="B13" s="4" t="n">
        <v>0.06</v>
      </c>
      <c r="C13" s="4" t="n">
        <v>24</v>
      </c>
      <c r="D13" s="4" t="n">
        <v>106</v>
      </c>
      <c r="E13" s="4" t="n">
        <v>-7</v>
      </c>
      <c r="F13" s="4" t="n">
        <f aca="false">D13+E13</f>
        <v>99</v>
      </c>
      <c r="G13" s="4" t="str">
        <f aca="false">IF(AND(F13&gt;=88,F13&lt;=112),"PASS","FAIL")</f>
        <v>PASS</v>
      </c>
      <c r="H13" s="4" t="s">
        <v>10</v>
      </c>
    </row>
  </sheetData>
  <autoFilter ref="A3:H13"/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2026-08-19T16:22:21Z</dcterms:created>
  <dc:creator>openpyxl</dc:creator>
  <dc:description/>
  <dc:language>en-SG</dc:language>
  <cp:lastModifiedBy/>
  <dcterms:modified xsi:type="dcterms:W3CDTF">2026-08-19T16:22:21Z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