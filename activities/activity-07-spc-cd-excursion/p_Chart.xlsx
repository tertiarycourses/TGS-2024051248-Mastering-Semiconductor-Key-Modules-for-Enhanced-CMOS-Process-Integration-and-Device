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 Chart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2344D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B8C5D1"/>
      </left>
      <right style="thin">
        <color rgb="00B8C5D1"/>
      </right>
      <top style="thin">
        <color rgb="00B8C5D1"/>
      </top>
      <bottom style="thin">
        <color rgb="00B8C5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 Chart</a:t>
            </a:r>
          </a:p>
        </rich>
      </tx>
    </title>
    <plotArea>
      <lineChart>
        <grouping val="standard"/>
        <ser>
          <idx val="0"/>
          <order val="0"/>
          <tx>
            <strRef>
              <f>'p Chart'!D3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 Chart'!$A$4:$A$18</f>
            </numRef>
          </cat>
          <val>
            <numRef>
              <f>'p Chart'!$D$4:$D$18</f>
            </numRef>
          </val>
        </ser>
        <ser>
          <idx val="1"/>
          <order val="1"/>
          <tx>
            <strRef>
              <f>'p Chart'!E3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 Chart'!$A$4:$A$18</f>
            </numRef>
          </cat>
          <val>
            <numRef>
              <f>'p Chart'!$E$4:$E$18</f>
            </numRef>
          </val>
        </ser>
        <ser>
          <idx val="2"/>
          <order val="2"/>
          <tx>
            <strRef>
              <f>'p Chart'!F3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 Chart'!$A$4:$A$18</f>
            </numRef>
          </cat>
          <val>
            <numRef>
              <f>'p Chart'!$F$4:$F$18</f>
            </numRef>
          </val>
        </ser>
        <ser>
          <idx val="3"/>
          <order val="3"/>
          <tx>
            <strRef>
              <f>'p Chart'!G3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 Chart'!$A$4:$A$18</f>
            </numRef>
          </cat>
          <val>
            <numRef>
              <f>'p Chart'!$G$4:$G$18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proportion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2" customWidth="1" min="9" max="9"/>
  </cols>
  <sheetData>
    <row r="1" ht="28" customHeight="1">
      <c r="A1" s="1" t="inlineStr">
        <is>
          <t>Defect Proportion p Chart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Sample</t>
        </is>
      </c>
      <c r="B3" s="3" t="inlineStr">
        <is>
          <t>Units inspected</t>
        </is>
      </c>
      <c r="C3" s="3" t="inlineStr">
        <is>
          <t>Defects</t>
        </is>
      </c>
      <c r="D3" s="3" t="inlineStr">
        <is>
          <t>p</t>
        </is>
      </c>
      <c r="E3" s="3" t="inlineStr">
        <is>
          <t>p-bar</t>
        </is>
      </c>
      <c r="F3" s="3" t="inlineStr">
        <is>
          <t>UCL</t>
        </is>
      </c>
      <c r="G3" s="3" t="inlineStr">
        <is>
          <t>LCL</t>
        </is>
      </c>
      <c r="H3" s="3" t="inlineStr">
        <is>
          <t>Signal</t>
        </is>
      </c>
      <c r="I3" s="3" t="inlineStr">
        <is>
          <t>Source</t>
        </is>
      </c>
    </row>
    <row r="4">
      <c r="A4" s="2" t="n">
        <v>1</v>
      </c>
      <c r="B4" s="2" t="n">
        <v>80</v>
      </c>
      <c r="C4" s="2" t="n">
        <v>2</v>
      </c>
      <c r="D4" s="2">
        <f>C4/B4</f>
        <v/>
      </c>
      <c r="E4" s="2">
        <f>SUM($C$4:$C$18)/SUM($B$4:$B$18)</f>
        <v/>
      </c>
      <c r="F4" s="2">
        <f>E4+3*SQRT(E4*(1-E4)/B4)</f>
        <v/>
      </c>
      <c r="G4" s="2">
        <f>MAX(0,E4-3*SQRT(E4*(1-E4)/B4))</f>
        <v/>
      </c>
      <c r="H4" s="2">
        <f>IF(D4&gt;F4,"OUT OF CONTROL",IF(D4&lt;G4,"LOW SIGNAL","OK"))</f>
        <v/>
      </c>
      <c r="I4" s="2" t="inlineStr">
        <is>
          <t>Training dataset</t>
        </is>
      </c>
    </row>
    <row r="5">
      <c r="A5" s="2" t="n">
        <v>2</v>
      </c>
      <c r="B5" s="2" t="n">
        <v>90</v>
      </c>
      <c r="C5" s="2" t="n">
        <v>3</v>
      </c>
      <c r="D5" s="2">
        <f>C5/B5</f>
        <v/>
      </c>
      <c r="E5" s="2">
        <f>SUM($C$4:$C$18)/SUM($B$4:$B$18)</f>
        <v/>
      </c>
      <c r="F5" s="2">
        <f>E5+3*SQRT(E5*(1-E5)/B5)</f>
        <v/>
      </c>
      <c r="G5" s="2">
        <f>MAX(0,E5-3*SQRT(E5*(1-E5)/B5))</f>
        <v/>
      </c>
      <c r="H5" s="2">
        <f>IF(D5&gt;F5,"OUT OF CONTROL",IF(D5&lt;G5,"LOW SIGNAL","OK"))</f>
        <v/>
      </c>
      <c r="I5" s="2" t="inlineStr">
        <is>
          <t>Training dataset</t>
        </is>
      </c>
    </row>
    <row r="6">
      <c r="A6" s="2" t="n">
        <v>3</v>
      </c>
      <c r="B6" s="2" t="n">
        <v>100</v>
      </c>
      <c r="C6" s="2" t="n">
        <v>4</v>
      </c>
      <c r="D6" s="2">
        <f>C6/B6</f>
        <v/>
      </c>
      <c r="E6" s="2">
        <f>SUM($C$4:$C$18)/SUM($B$4:$B$18)</f>
        <v/>
      </c>
      <c r="F6" s="2">
        <f>E6+3*SQRT(E6*(1-E6)/B6)</f>
        <v/>
      </c>
      <c r="G6" s="2">
        <f>MAX(0,E6-3*SQRT(E6*(1-E6)/B6))</f>
        <v/>
      </c>
      <c r="H6" s="2">
        <f>IF(D6&gt;F6,"OUT OF CONTROL",IF(D6&lt;G6,"LOW SIGNAL","OK"))</f>
        <v/>
      </c>
      <c r="I6" s="2" t="inlineStr">
        <is>
          <t>Training dataset</t>
        </is>
      </c>
    </row>
    <row r="7">
      <c r="A7" s="2" t="n">
        <v>4</v>
      </c>
      <c r="B7" s="2" t="n">
        <v>75</v>
      </c>
      <c r="C7" s="2" t="n">
        <v>2</v>
      </c>
      <c r="D7" s="2">
        <f>C7/B7</f>
        <v/>
      </c>
      <c r="E7" s="2">
        <f>SUM($C$4:$C$18)/SUM($B$4:$B$18)</f>
        <v/>
      </c>
      <c r="F7" s="2">
        <f>E7+3*SQRT(E7*(1-E7)/B7)</f>
        <v/>
      </c>
      <c r="G7" s="2">
        <f>MAX(0,E7-3*SQRT(E7*(1-E7)/B7))</f>
        <v/>
      </c>
      <c r="H7" s="2">
        <f>IF(D7&gt;F7,"OUT OF CONTROL",IF(D7&lt;G7,"LOW SIGNAL","OK"))</f>
        <v/>
      </c>
      <c r="I7" s="2" t="inlineStr">
        <is>
          <t>Training dataset</t>
        </is>
      </c>
    </row>
    <row r="8">
      <c r="A8" s="2" t="n">
        <v>5</v>
      </c>
      <c r="B8" s="2" t="n">
        <v>120</v>
      </c>
      <c r="C8" s="2" t="n">
        <v>5</v>
      </c>
      <c r="D8" s="2">
        <f>C8/B8</f>
        <v/>
      </c>
      <c r="E8" s="2">
        <f>SUM($C$4:$C$18)/SUM($B$4:$B$18)</f>
        <v/>
      </c>
      <c r="F8" s="2">
        <f>E8+3*SQRT(E8*(1-E8)/B8)</f>
        <v/>
      </c>
      <c r="G8" s="2">
        <f>MAX(0,E8-3*SQRT(E8*(1-E8)/B8))</f>
        <v/>
      </c>
      <c r="H8" s="2">
        <f>IF(D8&gt;F8,"OUT OF CONTROL",IF(D8&lt;G8,"LOW SIGNAL","OK"))</f>
        <v/>
      </c>
      <c r="I8" s="2" t="inlineStr">
        <is>
          <t>Training dataset</t>
        </is>
      </c>
    </row>
    <row r="9">
      <c r="A9" s="2" t="n">
        <v>6</v>
      </c>
      <c r="B9" s="2" t="n">
        <v>110</v>
      </c>
      <c r="C9" s="2" t="n">
        <v>5</v>
      </c>
      <c r="D9" s="2">
        <f>C9/B9</f>
        <v/>
      </c>
      <c r="E9" s="2">
        <f>SUM($C$4:$C$18)/SUM($B$4:$B$18)</f>
        <v/>
      </c>
      <c r="F9" s="2">
        <f>E9+3*SQRT(E9*(1-E9)/B9)</f>
        <v/>
      </c>
      <c r="G9" s="2">
        <f>MAX(0,E9-3*SQRT(E9*(1-E9)/B9))</f>
        <v/>
      </c>
      <c r="H9" s="2">
        <f>IF(D9&gt;F9,"OUT OF CONTROL",IF(D9&lt;G9,"LOW SIGNAL","OK"))</f>
        <v/>
      </c>
      <c r="I9" s="2" t="inlineStr">
        <is>
          <t>Training dataset</t>
        </is>
      </c>
    </row>
    <row r="10">
      <c r="A10" s="2" t="n">
        <v>7</v>
      </c>
      <c r="B10" s="2" t="n">
        <v>95</v>
      </c>
      <c r="C10" s="2" t="n">
        <v>4</v>
      </c>
      <c r="D10" s="2">
        <f>C10/B10</f>
        <v/>
      </c>
      <c r="E10" s="2">
        <f>SUM($C$4:$C$18)/SUM($B$4:$B$18)</f>
        <v/>
      </c>
      <c r="F10" s="2">
        <f>E10+3*SQRT(E10*(1-E10)/B10)</f>
        <v/>
      </c>
      <c r="G10" s="2">
        <f>MAX(0,E10-3*SQRT(E10*(1-E10)/B10))</f>
        <v/>
      </c>
      <c r="H10" s="2">
        <f>IF(D10&gt;F10,"OUT OF CONTROL",IF(D10&lt;G10,"LOW SIGNAL","OK"))</f>
        <v/>
      </c>
      <c r="I10" s="2" t="inlineStr">
        <is>
          <t>Training dataset</t>
        </is>
      </c>
    </row>
    <row r="11">
      <c r="A11" s="2" t="n">
        <v>8</v>
      </c>
      <c r="B11" s="2" t="n">
        <v>85</v>
      </c>
      <c r="C11" s="2" t="n">
        <v>3</v>
      </c>
      <c r="D11" s="2">
        <f>C11/B11</f>
        <v/>
      </c>
      <c r="E11" s="2">
        <f>SUM($C$4:$C$18)/SUM($B$4:$B$18)</f>
        <v/>
      </c>
      <c r="F11" s="2">
        <f>E11+3*SQRT(E11*(1-E11)/B11)</f>
        <v/>
      </c>
      <c r="G11" s="2">
        <f>MAX(0,E11-3*SQRT(E11*(1-E11)/B11))</f>
        <v/>
      </c>
      <c r="H11" s="2">
        <f>IF(D11&gt;F11,"OUT OF CONTROL",IF(D11&lt;G11,"LOW SIGNAL","OK"))</f>
        <v/>
      </c>
      <c r="I11" s="2" t="inlineStr">
        <is>
          <t>Training dataset</t>
        </is>
      </c>
    </row>
    <row r="12">
      <c r="A12" s="2" t="n">
        <v>9</v>
      </c>
      <c r="B12" s="2" t="n">
        <v>105</v>
      </c>
      <c r="C12" s="2" t="n">
        <v>5</v>
      </c>
      <c r="D12" s="2">
        <f>C12/B12</f>
        <v/>
      </c>
      <c r="E12" s="2">
        <f>SUM($C$4:$C$18)/SUM($B$4:$B$18)</f>
        <v/>
      </c>
      <c r="F12" s="2">
        <f>E12+3*SQRT(E12*(1-E12)/B12)</f>
        <v/>
      </c>
      <c r="G12" s="2">
        <f>MAX(0,E12-3*SQRT(E12*(1-E12)/B12))</f>
        <v/>
      </c>
      <c r="H12" s="2">
        <f>IF(D12&gt;F12,"OUT OF CONTROL",IF(D12&lt;G12,"LOW SIGNAL","OK"))</f>
        <v/>
      </c>
      <c r="I12" s="2" t="inlineStr">
        <is>
          <t>Training dataset</t>
        </is>
      </c>
    </row>
    <row r="13">
      <c r="A13" s="2" t="n">
        <v>10</v>
      </c>
      <c r="B13" s="2" t="n">
        <v>100</v>
      </c>
      <c r="C13" s="2" t="n">
        <v>6</v>
      </c>
      <c r="D13" s="2">
        <f>C13/B13</f>
        <v/>
      </c>
      <c r="E13" s="2">
        <f>SUM($C$4:$C$18)/SUM($B$4:$B$18)</f>
        <v/>
      </c>
      <c r="F13" s="2">
        <f>E13+3*SQRT(E13*(1-E13)/B13)</f>
        <v/>
      </c>
      <c r="G13" s="2">
        <f>MAX(0,E13-3*SQRT(E13*(1-E13)/B13))</f>
        <v/>
      </c>
      <c r="H13" s="2">
        <f>IF(D13&gt;F13,"OUT OF CONTROL",IF(D13&lt;G13,"LOW SIGNAL","OK"))</f>
        <v/>
      </c>
      <c r="I13" s="2" t="inlineStr">
        <is>
          <t>Training dataset</t>
        </is>
      </c>
    </row>
    <row r="14">
      <c r="A14" s="2" t="n">
        <v>11</v>
      </c>
      <c r="B14" s="2" t="n">
        <v>90</v>
      </c>
      <c r="C14" s="2" t="n">
        <v>4</v>
      </c>
      <c r="D14" s="2">
        <f>C14/B14</f>
        <v/>
      </c>
      <c r="E14" s="2">
        <f>SUM($C$4:$C$18)/SUM($B$4:$B$18)</f>
        <v/>
      </c>
      <c r="F14" s="2">
        <f>E14+3*SQRT(E14*(1-E14)/B14)</f>
        <v/>
      </c>
      <c r="G14" s="2">
        <f>MAX(0,E14-3*SQRT(E14*(1-E14)/B14))</f>
        <v/>
      </c>
      <c r="H14" s="2">
        <f>IF(D14&gt;F14,"OUT OF CONTROL",IF(D14&lt;G14,"LOW SIGNAL","OK"))</f>
        <v/>
      </c>
      <c r="I14" s="2" t="inlineStr">
        <is>
          <t>Training dataset</t>
        </is>
      </c>
    </row>
    <row r="15">
      <c r="A15" s="2" t="n">
        <v>12</v>
      </c>
      <c r="B15" s="2" t="n">
        <v>115</v>
      </c>
      <c r="C15" s="2" t="n">
        <v>7</v>
      </c>
      <c r="D15" s="2">
        <f>C15/B15</f>
        <v/>
      </c>
      <c r="E15" s="2">
        <f>SUM($C$4:$C$18)/SUM($B$4:$B$18)</f>
        <v/>
      </c>
      <c r="F15" s="2">
        <f>E15+3*SQRT(E15*(1-E15)/B15)</f>
        <v/>
      </c>
      <c r="G15" s="2">
        <f>MAX(0,E15-3*SQRT(E15*(1-E15)/B15))</f>
        <v/>
      </c>
      <c r="H15" s="2">
        <f>IF(D15&gt;F15,"OUT OF CONTROL",IF(D15&lt;G15,"LOW SIGNAL","OK"))</f>
        <v/>
      </c>
      <c r="I15" s="2" t="inlineStr">
        <is>
          <t>Training dataset</t>
        </is>
      </c>
    </row>
    <row r="16">
      <c r="A16" s="2" t="n">
        <v>13</v>
      </c>
      <c r="B16" s="2" t="n">
        <v>80</v>
      </c>
      <c r="C16" s="2" t="n">
        <v>3</v>
      </c>
      <c r="D16" s="2">
        <f>C16/B16</f>
        <v/>
      </c>
      <c r="E16" s="2">
        <f>SUM($C$4:$C$18)/SUM($B$4:$B$18)</f>
        <v/>
      </c>
      <c r="F16" s="2">
        <f>E16+3*SQRT(E16*(1-E16)/B16)</f>
        <v/>
      </c>
      <c r="G16" s="2">
        <f>MAX(0,E16-3*SQRT(E16*(1-E16)/B16))</f>
        <v/>
      </c>
      <c r="H16" s="2">
        <f>IF(D16&gt;F16,"OUT OF CONTROL",IF(D16&lt;G16,"LOW SIGNAL","OK"))</f>
        <v/>
      </c>
      <c r="I16" s="2" t="inlineStr">
        <is>
          <t>Training dataset</t>
        </is>
      </c>
    </row>
    <row r="17">
      <c r="A17" s="2" t="n">
        <v>14</v>
      </c>
      <c r="B17" s="2" t="n">
        <v>125</v>
      </c>
      <c r="C17" s="2" t="n">
        <v>10</v>
      </c>
      <c r="D17" s="2">
        <f>C17/B17</f>
        <v/>
      </c>
      <c r="E17" s="2">
        <f>SUM($C$4:$C$18)/SUM($B$4:$B$18)</f>
        <v/>
      </c>
      <c r="F17" s="2">
        <f>E17+3*SQRT(E17*(1-E17)/B17)</f>
        <v/>
      </c>
      <c r="G17" s="2">
        <f>MAX(0,E17-3*SQRT(E17*(1-E17)/B17))</f>
        <v/>
      </c>
      <c r="H17" s="2">
        <f>IF(D17&gt;F17,"OUT OF CONTROL",IF(D17&lt;G17,"LOW SIGNAL","OK"))</f>
        <v/>
      </c>
      <c r="I17" s="2" t="inlineStr">
        <is>
          <t>Training dataset</t>
        </is>
      </c>
    </row>
    <row r="18">
      <c r="A18" s="2" t="n">
        <v>15</v>
      </c>
      <c r="B18" s="2" t="n">
        <v>100</v>
      </c>
      <c r="C18" s="2" t="n">
        <v>5</v>
      </c>
      <c r="D18" s="2">
        <f>C18/B18</f>
        <v/>
      </c>
      <c r="E18" s="2">
        <f>SUM($C$4:$C$18)/SUM($B$4:$B$18)</f>
        <v/>
      </c>
      <c r="F18" s="2">
        <f>E18+3*SQRT(E18*(1-E18)/B18)</f>
        <v/>
      </c>
      <c r="G18" s="2">
        <f>MAX(0,E18-3*SQRT(E18*(1-E18)/B18))</f>
        <v/>
      </c>
      <c r="H18" s="2">
        <f>IF(D18&gt;F18,"OUT OF CONTROL",IF(D18&lt;G18,"LOW SIGNAL","OK"))</f>
        <v/>
      </c>
      <c r="I18" s="2" t="inlineStr">
        <is>
          <t>Training dataset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2026-08-19T17:35:54Z</dcterms:created>
  <dcterms:modified xmlns:dcterms="http://purl.org/dc/terms/" xmlns:xsi="http://www.w3.org/2001/XMLSchema-instance" xsi:type="dcterms:W3CDTF">2026-08-19T17:35:54Z</dcterms:modified>
</cp:coreProperties>
</file>