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 Cha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<sst xmlns="http://schemas.openxmlformats.org/spreadsheetml/2006/main" count="25" uniqueCount="11">
  <si>
    <t xml:space="preserve">Defect Proportion p Chart</t>
  </si>
  <si>
    <t xml:space="preserve">Sample</t>
  </si>
  <si>
    <t xml:space="preserve">Units inspected</t>
  </si>
  <si>
    <t xml:space="preserve">Defects</t>
  </si>
  <si>
    <t xml:space="preserve">p</t>
  </si>
  <si>
    <t xml:space="preserve">p-bar</t>
  </si>
  <si>
    <t xml:space="preserve">UCL</t>
  </si>
  <si>
    <t xml:space="preserve">LCL</t>
  </si>
  <si>
    <t xml:space="preserve">Signal</t>
  </si>
  <si>
    <t xml:space="preserve">Source</t>
  </si>
  <si>
    <t xml:space="preserve">Training dataset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</si>
</sst>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2344D"/>
        <bgColor rgb="FF333333"/>
      </patternFill>
    </fill>
    <fill>
      <patternFill patternType="solid">
        <fgColor rgb="FF10B981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5D1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12344D"/>
      <rgbColor rgb="FF10B981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 Chart'!D3</c:f>
              <c:strCache>
                <c:ptCount val="1"/>
                <c:pt idx="0">
                  <c:v>p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 Chart'!$A$4:$A$18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cat>
          <c:val>
            <c:numRef>
              <c:f>'p Chart'!$D$4:$D$18</c:f>
              <c:numCache>
                <c:formatCode>General</c:formatCode>
                <c:ptCount val="15"/>
                <c:pt idx="0">
                  <c:v>0.025</c:v>
                </c:pt>
                <c:pt idx="1">
                  <c:v>0.0333333333333333</c:v>
                </c:pt>
                <c:pt idx="2">
                  <c:v>0.04</c:v>
                </c:pt>
                <c:pt idx="3">
                  <c:v>0.0266666666666667</c:v>
                </c:pt>
                <c:pt idx="4">
                  <c:v>0.0416666666666667</c:v>
                </c:pt>
                <c:pt idx="5">
                  <c:v>0.0454545454545455</c:v>
                </c:pt>
                <c:pt idx="6">
                  <c:v>0.0421052631578947</c:v>
                </c:pt>
                <c:pt idx="7">
                  <c:v>0.0352941176470588</c:v>
                </c:pt>
                <c:pt idx="8">
                  <c:v>0.0476190476190476</c:v>
                </c:pt>
                <c:pt idx="9">
                  <c:v>0.06</c:v>
                </c:pt>
                <c:pt idx="10">
                  <c:v>0.0444444444444444</c:v>
                </c:pt>
                <c:pt idx="11">
                  <c:v>0.0608695652173913</c:v>
                </c:pt>
                <c:pt idx="12">
                  <c:v>0.0375</c:v>
                </c:pt>
                <c:pt idx="13">
                  <c:v>0.08</c:v>
                </c:pt>
                <c:pt idx="14">
                  <c:v>0.05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'p Chart'!E3</c:f>
              <c:strCache>
                <c:ptCount val="1"/>
                <c:pt idx="0">
                  <c:v>p-bar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 Chart'!$A$4:$A$18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cat>
          <c:val>
            <c:numRef>
              <c:f>'p Chart'!$E$4:$E$18</c:f>
              <c:numCache>
                <c:formatCode>General</c:formatCode>
                <c:ptCount val="15"/>
                <c:pt idx="0">
                  <c:v>0.0462585034013605</c:v>
                </c:pt>
                <c:pt idx="1">
                  <c:v>0.0462585034013605</c:v>
                </c:pt>
                <c:pt idx="2">
                  <c:v>0.0462585034013605</c:v>
                </c:pt>
                <c:pt idx="3">
                  <c:v>0.0462585034013605</c:v>
                </c:pt>
                <c:pt idx="4">
                  <c:v>0.0462585034013605</c:v>
                </c:pt>
                <c:pt idx="5">
                  <c:v>0.0462585034013605</c:v>
                </c:pt>
                <c:pt idx="6">
                  <c:v>0.0462585034013605</c:v>
                </c:pt>
                <c:pt idx="7">
                  <c:v>0.0462585034013605</c:v>
                </c:pt>
                <c:pt idx="8">
                  <c:v>0.0462585034013605</c:v>
                </c:pt>
                <c:pt idx="9">
                  <c:v>0.0462585034013605</c:v>
                </c:pt>
                <c:pt idx="10">
                  <c:v>0.0462585034013605</c:v>
                </c:pt>
                <c:pt idx="11">
                  <c:v>0.0462585034013605</c:v>
                </c:pt>
                <c:pt idx="12">
                  <c:v>0.0462585034013605</c:v>
                </c:pt>
                <c:pt idx="13">
                  <c:v>0.0462585034013605</c:v>
                </c:pt>
                <c:pt idx="14">
                  <c:v>0.0462585034013605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'p Chart'!F3</c:f>
              <c:strCache>
                <c:ptCount val="1"/>
                <c:pt idx="0">
                  <c:v>UCL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 Chart'!$A$4:$A$18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cat>
          <c:val>
            <c:numRef>
              <c:f>'p Chart'!$F$4:$F$18</c:f>
              <c:numCache>
                <c:formatCode>General</c:formatCode>
                <c:ptCount val="15"/>
                <c:pt idx="0">
                  <c:v>0.116709540333034</c:v>
                </c:pt>
                <c:pt idx="1">
                  <c:v>0.112680378009374</c:v>
                </c:pt>
                <c:pt idx="2">
                  <c:v>0.109271826467189</c:v>
                </c:pt>
                <c:pt idx="3">
                  <c:v>0.119020021470538</c:v>
                </c:pt>
                <c:pt idx="4">
                  <c:v>0.103781534178885</c:v>
                </c:pt>
                <c:pt idx="5">
                  <c:v>0.106339349568674</c:v>
                </c:pt>
                <c:pt idx="6">
                  <c:v>0.110908808759848</c:v>
                </c:pt>
                <c:pt idx="7">
                  <c:v>0.114606048508085</c:v>
                </c:pt>
                <c:pt idx="8">
                  <c:v>0.107753209978032</c:v>
                </c:pt>
                <c:pt idx="9">
                  <c:v>0.109271826467189</c:v>
                </c:pt>
                <c:pt idx="10">
                  <c:v>0.112680378009374</c:v>
                </c:pt>
                <c:pt idx="11">
                  <c:v>0.105018730143445</c:v>
                </c:pt>
                <c:pt idx="12">
                  <c:v>0.116709540333034</c:v>
                </c:pt>
                <c:pt idx="13">
                  <c:v>0.102619332946699</c:v>
                </c:pt>
                <c:pt idx="14">
                  <c:v>0.109271826467189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'p Chart'!G3</c:f>
              <c:strCache>
                <c:ptCount val="1"/>
                <c:pt idx="0">
                  <c:v>LCL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 Chart'!$A$4:$A$18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cat>
          <c:val>
            <c:numRef>
              <c:f>'p Chart'!$G$4:$G$18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540060"/>
        <c:axId val="73171200"/>
      </c:lineChart>
      <c:catAx>
        <c:axId val="615400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Sample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171200"/>
        <c:crosses val="autoZero"/>
        <c:auto val="1"/>
        <c:lblAlgn val="ctr"/>
        <c:lblOffset val="100"/>
        <c:noMultiLvlLbl val="0"/>
      </c:catAx>
      <c:valAx>
        <c:axId val="731712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Defect proportion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5400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18</xdr:col>
      <xdr:colOff>507600</xdr:colOff>
      <xdr:row>17</xdr:row>
      <xdr:rowOff>21960</xdr:rowOff>
    </xdr:to>
    <xdr:graphicFrame>
      <xdr:nvGraphicFramePr>
        <xdr:cNvPr id="1" name="Chart 1"/>
        <xdr:cNvGraphicFramePr/>
      </xdr:nvGraphicFramePr>
      <xdr:xfrm>
        <a:off x="9633600" y="5428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7" min="3" style="0" width="12"/>
    <col collapsed="false" customWidth="true" hidden="false" outlineLevel="0" max="8" min="8" style="0" width="20"/>
    <col collapsed="false" customWidth="true" hidden="false" outlineLevel="0" max="9" min="9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</row>
    <row r="4" customFormat="false" ht="15" hidden="false" customHeight="false" outlineLevel="0" collapsed="false">
      <c r="A4" s="2" t="n">
        <v>1</v>
      </c>
      <c r="B4" s="2" t="n">
        <v>80</v>
      </c>
      <c r="C4" s="2" t="n">
        <v>2</v>
      </c>
      <c r="D4" s="2" t="n">
        <f aca="false">C4/B4</f>
        <v>0.025</v>
      </c>
      <c r="E4" s="2" t="n">
        <f aca="false">SUM($C$4:$C$18)/SUM($B$4:$B$18)</f>
        <v>0.0462585034013605</v>
      </c>
      <c r="F4" s="2" t="n">
        <f aca="false">E4+3*SQRT(E4*(1-E4)/B4)</f>
        <v>0.116709540333034</v>
      </c>
      <c r="G4" s="2" t="n">
        <f aca="false">MAX(0,E4-3*SQRT(E4*(1-E4)/B4))</f>
        <v>0</v>
      </c>
      <c r="H4" s="2" t="str">
        <f aca="false">IF(D4&gt;F4,"OUT OF CONTROL",IF(D4&lt;G4,"LOW SIGNAL","OK"))</f>
        <v>OK</v>
      </c>
      <c r="I4" s="2" t="s">
        <v>10</v>
      </c>
    </row>
    <row r="5" customFormat="false" ht="15" hidden="false" customHeight="false" outlineLevel="0" collapsed="false">
      <c r="A5" s="2" t="n">
        <v>2</v>
      </c>
      <c r="B5" s="2" t="n">
        <v>90</v>
      </c>
      <c r="C5" s="2" t="n">
        <v>3</v>
      </c>
      <c r="D5" s="2" t="n">
        <f aca="false">C5/B5</f>
        <v>0.0333333333333333</v>
      </c>
      <c r="E5" s="2" t="n">
        <f aca="false">SUM($C$4:$C$18)/SUM($B$4:$B$18)</f>
        <v>0.0462585034013605</v>
      </c>
      <c r="F5" s="2" t="n">
        <f aca="false">E5+3*SQRT(E5*(1-E5)/B5)</f>
        <v>0.112680378009374</v>
      </c>
      <c r="G5" s="2" t="n">
        <f aca="false">MAX(0,E5-3*SQRT(E5*(1-E5)/B5))</f>
        <v>0</v>
      </c>
      <c r="H5" s="2" t="str">
        <f aca="false">IF(D5&gt;F5,"OUT OF CONTROL",IF(D5&lt;G5,"LOW SIGNAL","OK"))</f>
        <v>OK</v>
      </c>
      <c r="I5" s="2" t="s">
        <v>10</v>
      </c>
    </row>
    <row r="6" customFormat="false" ht="15" hidden="false" customHeight="false" outlineLevel="0" collapsed="false">
      <c r="A6" s="2" t="n">
        <v>3</v>
      </c>
      <c r="B6" s="2" t="n">
        <v>100</v>
      </c>
      <c r="C6" s="2" t="n">
        <v>4</v>
      </c>
      <c r="D6" s="2" t="n">
        <f aca="false">C6/B6</f>
        <v>0.04</v>
      </c>
      <c r="E6" s="2" t="n">
        <f aca="false">SUM($C$4:$C$18)/SUM($B$4:$B$18)</f>
        <v>0.0462585034013605</v>
      </c>
      <c r="F6" s="2" t="n">
        <f aca="false">E6+3*SQRT(E6*(1-E6)/B6)</f>
        <v>0.109271826467189</v>
      </c>
      <c r="G6" s="2" t="n">
        <f aca="false">MAX(0,E6-3*SQRT(E6*(1-E6)/B6))</f>
        <v>0</v>
      </c>
      <c r="H6" s="2" t="str">
        <f aca="false">IF(D6&gt;F6,"OUT OF CONTROL",IF(D6&lt;G6,"LOW SIGNAL","OK"))</f>
        <v>OK</v>
      </c>
      <c r="I6" s="2" t="s">
        <v>10</v>
      </c>
    </row>
    <row r="7" customFormat="false" ht="15" hidden="false" customHeight="false" outlineLevel="0" collapsed="false">
      <c r="A7" s="2" t="n">
        <v>4</v>
      </c>
      <c r="B7" s="2" t="n">
        <v>75</v>
      </c>
      <c r="C7" s="2" t="n">
        <v>2</v>
      </c>
      <c r="D7" s="2" t="n">
        <f aca="false">C7/B7</f>
        <v>0.0266666666666667</v>
      </c>
      <c r="E7" s="2" t="n">
        <f aca="false">SUM($C$4:$C$18)/SUM($B$4:$B$18)</f>
        <v>0.0462585034013605</v>
      </c>
      <c r="F7" s="2" t="n">
        <f aca="false">E7+3*SQRT(E7*(1-E7)/B7)</f>
        <v>0.119020021470538</v>
      </c>
      <c r="G7" s="2" t="n">
        <f aca="false">MAX(0,E7-3*SQRT(E7*(1-E7)/B7))</f>
        <v>0</v>
      </c>
      <c r="H7" s="2" t="str">
        <f aca="false">IF(D7&gt;F7,"OUT OF CONTROL",IF(D7&lt;G7,"LOW SIGNAL","OK"))</f>
        <v>OK</v>
      </c>
      <c r="I7" s="2" t="s">
        <v>10</v>
      </c>
    </row>
    <row r="8" customFormat="false" ht="15" hidden="false" customHeight="false" outlineLevel="0" collapsed="false">
      <c r="A8" s="2" t="n">
        <v>5</v>
      </c>
      <c r="B8" s="2" t="n">
        <v>120</v>
      </c>
      <c r="C8" s="2" t="n">
        <v>5</v>
      </c>
      <c r="D8" s="2" t="n">
        <f aca="false">C8/B8</f>
        <v>0.0416666666666667</v>
      </c>
      <c r="E8" s="2" t="n">
        <f aca="false">SUM($C$4:$C$18)/SUM($B$4:$B$18)</f>
        <v>0.0462585034013605</v>
      </c>
      <c r="F8" s="2" t="n">
        <f aca="false">E8+3*SQRT(E8*(1-E8)/B8)</f>
        <v>0.103781534178885</v>
      </c>
      <c r="G8" s="2" t="n">
        <f aca="false">MAX(0,E8-3*SQRT(E8*(1-E8)/B8))</f>
        <v>0</v>
      </c>
      <c r="H8" s="2" t="str">
        <f aca="false">IF(D8&gt;F8,"OUT OF CONTROL",IF(D8&lt;G8,"LOW SIGNAL","OK"))</f>
        <v>OK</v>
      </c>
      <c r="I8" s="2" t="s">
        <v>10</v>
      </c>
    </row>
    <row r="9" customFormat="false" ht="15" hidden="false" customHeight="false" outlineLevel="0" collapsed="false">
      <c r="A9" s="2" t="n">
        <v>6</v>
      </c>
      <c r="B9" s="2" t="n">
        <v>110</v>
      </c>
      <c r="C9" s="2" t="n">
        <v>5</v>
      </c>
      <c r="D9" s="2" t="n">
        <f aca="false">C9/B9</f>
        <v>0.0454545454545455</v>
      </c>
      <c r="E9" s="2" t="n">
        <f aca="false">SUM($C$4:$C$18)/SUM($B$4:$B$18)</f>
        <v>0.0462585034013605</v>
      </c>
      <c r="F9" s="2" t="n">
        <f aca="false">E9+3*SQRT(E9*(1-E9)/B9)</f>
        <v>0.106339349568674</v>
      </c>
      <c r="G9" s="2" t="n">
        <f aca="false">MAX(0,E9-3*SQRT(E9*(1-E9)/B9))</f>
        <v>0</v>
      </c>
      <c r="H9" s="2" t="str">
        <f aca="false">IF(D9&gt;F9,"OUT OF CONTROL",IF(D9&lt;G9,"LOW SIGNAL","OK"))</f>
        <v>OK</v>
      </c>
      <c r="I9" s="2" t="s">
        <v>10</v>
      </c>
    </row>
    <row r="10" customFormat="false" ht="15" hidden="false" customHeight="false" outlineLevel="0" collapsed="false">
      <c r="A10" s="2" t="n">
        <v>7</v>
      </c>
      <c r="B10" s="2" t="n">
        <v>95</v>
      </c>
      <c r="C10" s="2" t="n">
        <v>4</v>
      </c>
      <c r="D10" s="2" t="n">
        <f aca="false">C10/B10</f>
        <v>0.0421052631578947</v>
      </c>
      <c r="E10" s="2" t="n">
        <f aca="false">SUM($C$4:$C$18)/SUM($B$4:$B$18)</f>
        <v>0.0462585034013605</v>
      </c>
      <c r="F10" s="2" t="n">
        <f aca="false">E10+3*SQRT(E10*(1-E10)/B10)</f>
        <v>0.110908808759848</v>
      </c>
      <c r="G10" s="2" t="n">
        <f aca="false">MAX(0,E10-3*SQRT(E10*(1-E10)/B10))</f>
        <v>0</v>
      </c>
      <c r="H10" s="2" t="str">
        <f aca="false">IF(D10&gt;F10,"OUT OF CONTROL",IF(D10&lt;G10,"LOW SIGNAL","OK"))</f>
        <v>OK</v>
      </c>
      <c r="I10" s="2" t="s">
        <v>10</v>
      </c>
    </row>
    <row r="11" customFormat="false" ht="15" hidden="false" customHeight="false" outlineLevel="0" collapsed="false">
      <c r="A11" s="2" t="n">
        <v>8</v>
      </c>
      <c r="B11" s="2" t="n">
        <v>85</v>
      </c>
      <c r="C11" s="2" t="n">
        <v>3</v>
      </c>
      <c r="D11" s="2" t="n">
        <f aca="false">C11/B11</f>
        <v>0.0352941176470588</v>
      </c>
      <c r="E11" s="2" t="n">
        <f aca="false">SUM($C$4:$C$18)/SUM($B$4:$B$18)</f>
        <v>0.0462585034013605</v>
      </c>
      <c r="F11" s="2" t="n">
        <f aca="false">E11+3*SQRT(E11*(1-E11)/B11)</f>
        <v>0.114606048508085</v>
      </c>
      <c r="G11" s="2" t="n">
        <f aca="false">MAX(0,E11-3*SQRT(E11*(1-E11)/B11))</f>
        <v>0</v>
      </c>
      <c r="H11" s="2" t="str">
        <f aca="false">IF(D11&gt;F11,"OUT OF CONTROL",IF(D11&lt;G11,"LOW SIGNAL","OK"))</f>
        <v>OK</v>
      </c>
      <c r="I11" s="2" t="s">
        <v>10</v>
      </c>
    </row>
    <row r="12" customFormat="false" ht="15" hidden="false" customHeight="false" outlineLevel="0" collapsed="false">
      <c r="A12" s="2" t="n">
        <v>9</v>
      </c>
      <c r="B12" s="2" t="n">
        <v>105</v>
      </c>
      <c r="C12" s="2" t="n">
        <v>5</v>
      </c>
      <c r="D12" s="2" t="n">
        <f aca="false">C12/B12</f>
        <v>0.0476190476190476</v>
      </c>
      <c r="E12" s="2" t="n">
        <f aca="false">SUM($C$4:$C$18)/SUM($B$4:$B$18)</f>
        <v>0.0462585034013605</v>
      </c>
      <c r="F12" s="2" t="n">
        <f aca="false">E12+3*SQRT(E12*(1-E12)/B12)</f>
        <v>0.107753209978032</v>
      </c>
      <c r="G12" s="2" t="n">
        <f aca="false">MAX(0,E12-3*SQRT(E12*(1-E12)/B12))</f>
        <v>0</v>
      </c>
      <c r="H12" s="2" t="str">
        <f aca="false">IF(D12&gt;F12,"OUT OF CONTROL",IF(D12&lt;G12,"LOW SIGNAL","OK"))</f>
        <v>OK</v>
      </c>
      <c r="I12" s="2" t="s">
        <v>10</v>
      </c>
    </row>
    <row r="13" customFormat="false" ht="15" hidden="false" customHeight="false" outlineLevel="0" collapsed="false">
      <c r="A13" s="2" t="n">
        <v>10</v>
      </c>
      <c r="B13" s="2" t="n">
        <v>100</v>
      </c>
      <c r="C13" s="2" t="n">
        <v>6</v>
      </c>
      <c r="D13" s="2" t="n">
        <f aca="false">C13/B13</f>
        <v>0.06</v>
      </c>
      <c r="E13" s="2" t="n">
        <f aca="false">SUM($C$4:$C$18)/SUM($B$4:$B$18)</f>
        <v>0.0462585034013605</v>
      </c>
      <c r="F13" s="2" t="n">
        <f aca="false">E13+3*SQRT(E13*(1-E13)/B13)</f>
        <v>0.109271826467189</v>
      </c>
      <c r="G13" s="2" t="n">
        <f aca="false">MAX(0,E13-3*SQRT(E13*(1-E13)/B13))</f>
        <v>0</v>
      </c>
      <c r="H13" s="2" t="str">
        <f aca="false">IF(D13&gt;F13,"OUT OF CONTROL",IF(D13&lt;G13,"LOW SIGNAL","OK"))</f>
        <v>OK</v>
      </c>
      <c r="I13" s="2" t="s">
        <v>10</v>
      </c>
    </row>
    <row r="14" customFormat="false" ht="15" hidden="false" customHeight="false" outlineLevel="0" collapsed="false">
      <c r="A14" s="2" t="n">
        <v>11</v>
      </c>
      <c r="B14" s="2" t="n">
        <v>90</v>
      </c>
      <c r="C14" s="2" t="n">
        <v>4</v>
      </c>
      <c r="D14" s="2" t="n">
        <f aca="false">C14/B14</f>
        <v>0.0444444444444444</v>
      </c>
      <c r="E14" s="2" t="n">
        <f aca="false">SUM($C$4:$C$18)/SUM($B$4:$B$18)</f>
        <v>0.0462585034013605</v>
      </c>
      <c r="F14" s="2" t="n">
        <f aca="false">E14+3*SQRT(E14*(1-E14)/B14)</f>
        <v>0.112680378009374</v>
      </c>
      <c r="G14" s="2" t="n">
        <f aca="false">MAX(0,E14-3*SQRT(E14*(1-E14)/B14))</f>
        <v>0</v>
      </c>
      <c r="H14" s="2" t="str">
        <f aca="false">IF(D14&gt;F14,"OUT OF CONTROL",IF(D14&lt;G14,"LOW SIGNAL","OK"))</f>
        <v>OK</v>
      </c>
      <c r="I14" s="2" t="s">
        <v>10</v>
      </c>
    </row>
    <row r="15" customFormat="false" ht="15" hidden="false" customHeight="false" outlineLevel="0" collapsed="false">
      <c r="A15" s="2" t="n">
        <v>12</v>
      </c>
      <c r="B15" s="2" t="n">
        <v>115</v>
      </c>
      <c r="C15" s="2" t="n">
        <v>7</v>
      </c>
      <c r="D15" s="2" t="n">
        <f aca="false">C15/B15</f>
        <v>0.0608695652173913</v>
      </c>
      <c r="E15" s="2" t="n">
        <f aca="false">SUM($C$4:$C$18)/SUM($B$4:$B$18)</f>
        <v>0.0462585034013605</v>
      </c>
      <c r="F15" s="2" t="n">
        <f aca="false">E15+3*SQRT(E15*(1-E15)/B15)</f>
        <v>0.105018730143445</v>
      </c>
      <c r="G15" s="2" t="n">
        <f aca="false">MAX(0,E15-3*SQRT(E15*(1-E15)/B15))</f>
        <v>0</v>
      </c>
      <c r="H15" s="2" t="str">
        <f aca="false">IF(D15&gt;F15,"OUT OF CONTROL",IF(D15&lt;G15,"LOW SIGNAL","OK"))</f>
        <v>OK</v>
      </c>
      <c r="I15" s="2" t="s">
        <v>10</v>
      </c>
    </row>
    <row r="16" customFormat="false" ht="15" hidden="false" customHeight="false" outlineLevel="0" collapsed="false">
      <c r="A16" s="2" t="n">
        <v>13</v>
      </c>
      <c r="B16" s="2" t="n">
        <v>80</v>
      </c>
      <c r="C16" s="2" t="n">
        <v>3</v>
      </c>
      <c r="D16" s="2" t="n">
        <f aca="false">C16/B16</f>
        <v>0.0375</v>
      </c>
      <c r="E16" s="2" t="n">
        <f aca="false">SUM($C$4:$C$18)/SUM($B$4:$B$18)</f>
        <v>0.0462585034013605</v>
      </c>
      <c r="F16" s="2" t="n">
        <f aca="false">E16+3*SQRT(E16*(1-E16)/B16)</f>
        <v>0.116709540333034</v>
      </c>
      <c r="G16" s="2" t="n">
        <f aca="false">MAX(0,E16-3*SQRT(E16*(1-E16)/B16))</f>
        <v>0</v>
      </c>
      <c r="H16" s="2" t="str">
        <f aca="false">IF(D16&gt;F16,"OUT OF CONTROL",IF(D16&lt;G16,"LOW SIGNAL","OK"))</f>
        <v>OK</v>
      </c>
      <c r="I16" s="2" t="s">
        <v>10</v>
      </c>
    </row>
    <row r="17" customFormat="false" ht="15" hidden="false" customHeight="false" outlineLevel="0" collapsed="false">
      <c r="A17" s="2" t="n">
        <v>14</v>
      </c>
      <c r="B17" s="2" t="n">
        <v>125</v>
      </c>
      <c r="C17" s="2" t="n">
        <v>10</v>
      </c>
      <c r="D17" s="2" t="n">
        <f aca="false">C17/B17</f>
        <v>0.08</v>
      </c>
      <c r="E17" s="2" t="n">
        <f aca="false">SUM($C$4:$C$18)/SUM($B$4:$B$18)</f>
        <v>0.0462585034013605</v>
      </c>
      <c r="F17" s="2" t="n">
        <f aca="false">E17+3*SQRT(E17*(1-E17)/B17)</f>
        <v>0.102619332946699</v>
      </c>
      <c r="G17" s="2" t="n">
        <f aca="false">MAX(0,E17-3*SQRT(E17*(1-E17)/B17))</f>
        <v>0</v>
      </c>
      <c r="H17" s="2" t="str">
        <f aca="false">IF(D17&gt;F17,"OUT OF CONTROL",IF(D17&lt;G17,"LOW SIGNAL","OK"))</f>
        <v>OK</v>
      </c>
      <c r="I17" s="2" t="s">
        <v>10</v>
      </c>
    </row>
    <row r="18" customFormat="false" ht="15" hidden="false" customHeight="false" outlineLevel="0" collapsed="false">
      <c r="A18" s="2" t="n">
        <v>15</v>
      </c>
      <c r="B18" s="2" t="n">
        <v>100</v>
      </c>
      <c r="C18" s="2" t="n">
        <v>5</v>
      </c>
      <c r="D18" s="2" t="n">
        <f aca="false">C18/B18</f>
        <v>0.05</v>
      </c>
      <c r="E18" s="2" t="n">
        <f aca="false">SUM($C$4:$C$18)/SUM($B$4:$B$18)</f>
        <v>0.0462585034013605</v>
      </c>
      <c r="F18" s="2" t="n">
        <f aca="false">E18+3*SQRT(E18*(1-E18)/B18)</f>
        <v>0.109271826467189</v>
      </c>
      <c r="G18" s="2" t="n">
        <f aca="false">MAX(0,E18-3*SQRT(E18*(1-E18)/B18))</f>
        <v>0</v>
      </c>
      <c r="H18" s="2" t="str">
        <f aca="false">IF(D18&gt;F18,"OUT OF CONTROL",IF(D18&lt;G18,"LOW SIGNAL","OK"))</f>
        <v>OK</v>
      </c>
      <c r="I18" s="2" t="s">
        <v>10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2026-08-19T16:22:21Z</dcterms:created>
  <dc:creator>openpyxl</dc:creator>
  <dc:description/>
  <dc:language>en-SG</dc:language>
  <cp:lastModifiedBy/>
  <dcterms:modified xsi:type="dcterms:W3CDTF">2026-08-20T00:23:27Z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