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bgroups" sheetId="1" state="visible" r:id="rId3"/>
    <sheet name="SPC Summar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<sst xmlns="http://schemas.openxmlformats.org/spreadsheetml/2006/main" count="106" uniqueCount="80">
  <si>
    <t xml:space="preserve">STI Active-Area CD SPC Data</t>
  </si>
  <si>
    <t xml:space="preserve">Subgroup</t>
  </si>
  <si>
    <t xml:space="preserve">Timestamp</t>
  </si>
  <si>
    <t xml:space="preserve">Tool</t>
  </si>
  <si>
    <t xml:space="preserve">Lot</t>
  </si>
  <si>
    <t xml:space="preserve">CD1</t>
  </si>
  <si>
    <t xml:space="preserve">CD2</t>
  </si>
  <si>
    <t xml:space="preserve">CD3</t>
  </si>
  <si>
    <t xml:space="preserve">CD4</t>
  </si>
  <si>
    <t xml:space="preserve">CD5</t>
  </si>
  <si>
    <t xml:space="preserve">Xbar</t>
  </si>
  <si>
    <t xml:space="preserve">Range</t>
  </si>
  <si>
    <t xml:space="preserve">2026-08-20 09:00</t>
  </si>
  <si>
    <t xml:space="preserve">LITHO-01</t>
  </si>
  <si>
    <t xml:space="preserve">LOT-1001</t>
  </si>
  <si>
    <t xml:space="preserve">2026-08-20 09:10</t>
  </si>
  <si>
    <t xml:space="preserve">LOT-1002</t>
  </si>
  <si>
    <t xml:space="preserve">2026-08-20 09:20</t>
  </si>
  <si>
    <t xml:space="preserve">LOT-1003</t>
  </si>
  <si>
    <t xml:space="preserve">2026-08-20 09:30</t>
  </si>
  <si>
    <t xml:space="preserve">LOT-1004</t>
  </si>
  <si>
    <t xml:space="preserve">2026-08-20 09:40</t>
  </si>
  <si>
    <t xml:space="preserve">LOT-1005</t>
  </si>
  <si>
    <t xml:space="preserve">2026-08-20 09:50</t>
  </si>
  <si>
    <t xml:space="preserve">LOT-1006</t>
  </si>
  <si>
    <t xml:space="preserve">2026-08-20 10:00</t>
  </si>
  <si>
    <t xml:space="preserve">LOT-1007</t>
  </si>
  <si>
    <t xml:space="preserve">2026-08-20 10:10</t>
  </si>
  <si>
    <t xml:space="preserve">LOT-1008</t>
  </si>
  <si>
    <t xml:space="preserve">2026-08-20 10:20</t>
  </si>
  <si>
    <t xml:space="preserve">LOT-1009</t>
  </si>
  <si>
    <t xml:space="preserve">2026-08-20 10:30</t>
  </si>
  <si>
    <t xml:space="preserve">LITHO-02</t>
  </si>
  <si>
    <t xml:space="preserve">LOT-1010</t>
  </si>
  <si>
    <t xml:space="preserve">2026-08-20 10:40</t>
  </si>
  <si>
    <t xml:space="preserve">LOT-1011</t>
  </si>
  <si>
    <t xml:space="preserve">2026-08-20 10:50</t>
  </si>
  <si>
    <t xml:space="preserve">LOT-1012</t>
  </si>
  <si>
    <t xml:space="preserve">2026-08-20 11:00</t>
  </si>
  <si>
    <t xml:space="preserve">LOT-1013</t>
  </si>
  <si>
    <t xml:space="preserve">2026-08-20 11:10</t>
  </si>
  <si>
    <t xml:space="preserve">LOT-1014</t>
  </si>
  <si>
    <t xml:space="preserve">2026-08-20 11:20</t>
  </si>
  <si>
    <t xml:space="preserve">LOT-1015</t>
  </si>
  <si>
    <t xml:space="preserve">2026-08-20 11:30</t>
  </si>
  <si>
    <t xml:space="preserve">LOT-1016</t>
  </si>
  <si>
    <t xml:space="preserve">2026-08-20 11:40</t>
  </si>
  <si>
    <t xml:space="preserve">LOT-1017</t>
  </si>
  <si>
    <t xml:space="preserve">2026-08-20 11:50</t>
  </si>
  <si>
    <t xml:space="preserve">LOT-1018</t>
  </si>
  <si>
    <t xml:space="preserve">2026-08-20 12:00</t>
  </si>
  <si>
    <t xml:space="preserve">LOT-1019</t>
  </si>
  <si>
    <t xml:space="preserve">2026-08-20 12:10</t>
  </si>
  <si>
    <t xml:space="preserve">LOT-1020</t>
  </si>
  <si>
    <t xml:space="preserve">Xbar-R Control Summary</t>
  </si>
  <si>
    <t xml:space="preserve">Metric</t>
  </si>
  <si>
    <t xml:space="preserve">Value</t>
  </si>
  <si>
    <t xml:space="preserve">Purpose</t>
  </si>
  <si>
    <t xml:space="preserve">Rule</t>
  </si>
  <si>
    <t xml:space="preserve">Result</t>
  </si>
  <si>
    <t xml:space="preserve">Owner</t>
  </si>
  <si>
    <t xml:space="preserve">X-double-bar</t>
  </si>
  <si>
    <t xml:space="preserve">Centre line</t>
  </si>
  <si>
    <t xml:space="preserve">Reference</t>
  </si>
  <si>
    <t xml:space="preserve">-</t>
  </si>
  <si>
    <t xml:space="preserve">Process integration</t>
  </si>
  <si>
    <t xml:space="preserve">R-bar</t>
  </si>
  <si>
    <t xml:space="preserve">Average within-subgroup range</t>
  </si>
  <si>
    <t xml:space="preserve">Xbar UCL</t>
  </si>
  <si>
    <t xml:space="preserve">Upper control limit</t>
  </si>
  <si>
    <t xml:space="preserve">No point above</t>
  </si>
  <si>
    <t xml:space="preserve">Module owner</t>
  </si>
  <si>
    <t xml:space="preserve">Xbar LCL</t>
  </si>
  <si>
    <t xml:space="preserve">Lower control limit</t>
  </si>
  <si>
    <t xml:space="preserve">No point below</t>
  </si>
  <si>
    <t xml:space="preserve">R UCL</t>
  </si>
  <si>
    <t xml:space="preserve">Range upper limit</t>
  </si>
  <si>
    <t xml:space="preserve">No range above</t>
  </si>
  <si>
    <t xml:space="preserve">R LCL</t>
  </si>
  <si>
    <t xml:space="preserve">Range lower limit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</si>
</sst>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2344D"/>
        <bgColor rgb="FF333333"/>
      </patternFill>
    </fill>
    <fill>
      <patternFill patternType="solid">
        <fgColor rgb="FF10B981"/>
        <bgColor rgb="FF33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8C5D1"/>
      </left>
      <right style="thin">
        <color rgb="FFB8C5D1"/>
      </right>
      <top style="thin">
        <color rgb="FFB8C5D1"/>
      </top>
      <bottom style="thin">
        <color rgb="FFB8C5D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8C5D1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12344D"/>
      <rgbColor rgb="FF10B981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Subgroup Xbar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Subgroups!J3</c:f>
              <c:strCache>
                <c:ptCount val="1"/>
                <c:pt idx="0">
                  <c:v>Xbar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Subgroups!$A$4:$A$23</c:f>
              <c:strCach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strCache>
            </c:strRef>
          </c:cat>
          <c:val>
            <c:numRef>
              <c:f>Subgroups!$J$4:$J$23</c:f>
              <c:numCache>
                <c:formatCode>General</c:formatCode>
                <c:ptCount val="20"/>
                <c:pt idx="0">
                  <c:v>99.2</c:v>
                </c:pt>
                <c:pt idx="1">
                  <c:v>99.4</c:v>
                </c:pt>
                <c:pt idx="2">
                  <c:v>99.6</c:v>
                </c:pt>
                <c:pt idx="3">
                  <c:v>99.8</c:v>
                </c:pt>
                <c:pt idx="4">
                  <c:v>100</c:v>
                </c:pt>
                <c:pt idx="5">
                  <c:v>100.3</c:v>
                </c:pt>
                <c:pt idx="6">
                  <c:v>100.5</c:v>
                </c:pt>
                <c:pt idx="7">
                  <c:v>100.8</c:v>
                </c:pt>
                <c:pt idx="8">
                  <c:v>101</c:v>
                </c:pt>
                <c:pt idx="9">
                  <c:v>101.2</c:v>
                </c:pt>
                <c:pt idx="10">
                  <c:v>101.5</c:v>
                </c:pt>
                <c:pt idx="11">
                  <c:v>101.8</c:v>
                </c:pt>
                <c:pt idx="12">
                  <c:v>102.1</c:v>
                </c:pt>
                <c:pt idx="13">
                  <c:v>102.5</c:v>
                </c:pt>
                <c:pt idx="14">
                  <c:v>103</c:v>
                </c:pt>
                <c:pt idx="15">
                  <c:v>103.4</c:v>
                </c:pt>
                <c:pt idx="16">
                  <c:v>104</c:v>
                </c:pt>
                <c:pt idx="17">
                  <c:v>104.8</c:v>
                </c:pt>
                <c:pt idx="18">
                  <c:v>106.2</c:v>
                </c:pt>
                <c:pt idx="19">
                  <c:v>104.1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3275401"/>
        <c:axId val="34250954"/>
      </c:lineChart>
      <c:catAx>
        <c:axId val="3327540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Subgroup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4250954"/>
        <c:crosses val="autoZero"/>
        <c:auto val="1"/>
        <c:lblAlgn val="ctr"/>
        <c:lblOffset val="100"/>
        <c:noMultiLvlLbl val="0"/>
      </c:catAx>
      <c:valAx>
        <c:axId val="342509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CD (nm)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327540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0</xdr:rowOff>
    </xdr:from>
    <xdr:to>
      <xdr:col>15</xdr:col>
      <xdr:colOff>147600</xdr:colOff>
      <xdr:row>15</xdr:row>
      <xdr:rowOff>43200</xdr:rowOff>
    </xdr:to>
    <xdr:graphicFrame>
      <xdr:nvGraphicFramePr>
        <xdr:cNvPr id="1" name="Chart 1"/>
        <xdr:cNvGraphicFramePr/>
      </xdr:nvGraphicFramePr>
      <xdr:xfrm>
        <a:off x="9492480" y="54288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4" min="3" style="0" width="14"/>
    <col collapsed="false" customWidth="true" hidden="false" outlineLevel="0" max="9" min="5" style="0" width="10"/>
    <col collapsed="false" customWidth="true" hidden="false" outlineLevel="0" max="11" min="10" style="0" width="12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</row>
    <row r="4" customFormat="false" ht="15" hidden="false" customHeight="false" outlineLevel="0" collapsed="false">
      <c r="A4" s="2" t="n">
        <v>1</v>
      </c>
      <c r="B4" s="2" t="s">
        <v>12</v>
      </c>
      <c r="C4" s="2" t="s">
        <v>13</v>
      </c>
      <c r="D4" s="2" t="s">
        <v>14</v>
      </c>
      <c r="E4" s="2" t="n">
        <v>98.6</v>
      </c>
      <c r="F4" s="2" t="n">
        <v>99</v>
      </c>
      <c r="G4" s="2" t="n">
        <v>99.2</v>
      </c>
      <c r="H4" s="2" t="n">
        <v>99.5</v>
      </c>
      <c r="I4" s="2" t="n">
        <v>99.7</v>
      </c>
      <c r="J4" s="2" t="n">
        <f aca="false">AVERAGE(E4:I4)</f>
        <v>99.2</v>
      </c>
      <c r="K4" s="2" t="n">
        <f aca="false">MAX(E4:I4)-MIN(E4:I4)</f>
        <v>1.10000000000001</v>
      </c>
    </row>
    <row r="5" customFormat="false" ht="15" hidden="false" customHeight="false" outlineLevel="0" collapsed="false">
      <c r="A5" s="2" t="n">
        <v>2</v>
      </c>
      <c r="B5" s="2" t="s">
        <v>15</v>
      </c>
      <c r="C5" s="2" t="s">
        <v>13</v>
      </c>
      <c r="D5" s="2" t="s">
        <v>16</v>
      </c>
      <c r="E5" s="2" t="n">
        <v>98.8</v>
      </c>
      <c r="F5" s="2" t="n">
        <v>99.2</v>
      </c>
      <c r="G5" s="2" t="n">
        <v>99.4</v>
      </c>
      <c r="H5" s="2" t="n">
        <v>99.7</v>
      </c>
      <c r="I5" s="2" t="n">
        <v>99.9</v>
      </c>
      <c r="J5" s="2" t="n">
        <f aca="false">AVERAGE(E5:I5)</f>
        <v>99.4</v>
      </c>
      <c r="K5" s="2" t="n">
        <f aca="false">MAX(E5:I5)-MIN(E5:I5)</f>
        <v>1.10000000000001</v>
      </c>
    </row>
    <row r="6" customFormat="false" ht="15" hidden="false" customHeight="false" outlineLevel="0" collapsed="false">
      <c r="A6" s="2" t="n">
        <v>3</v>
      </c>
      <c r="B6" s="2" t="s">
        <v>17</v>
      </c>
      <c r="C6" s="2" t="s">
        <v>13</v>
      </c>
      <c r="D6" s="2" t="s">
        <v>18</v>
      </c>
      <c r="E6" s="2" t="n">
        <v>99</v>
      </c>
      <c r="F6" s="2" t="n">
        <v>99.4</v>
      </c>
      <c r="G6" s="2" t="n">
        <v>99.6</v>
      </c>
      <c r="H6" s="2" t="n">
        <v>99.9</v>
      </c>
      <c r="I6" s="2" t="n">
        <v>100.1</v>
      </c>
      <c r="J6" s="2" t="n">
        <f aca="false">AVERAGE(E6:I6)</f>
        <v>99.6</v>
      </c>
      <c r="K6" s="2" t="n">
        <f aca="false">MAX(E6:I6)-MIN(E6:I6)</f>
        <v>1.09999999999999</v>
      </c>
    </row>
    <row r="7" customFormat="false" ht="15" hidden="false" customHeight="false" outlineLevel="0" collapsed="false">
      <c r="A7" s="2" t="n">
        <v>4</v>
      </c>
      <c r="B7" s="2" t="s">
        <v>19</v>
      </c>
      <c r="C7" s="2" t="s">
        <v>13</v>
      </c>
      <c r="D7" s="2" t="s">
        <v>20</v>
      </c>
      <c r="E7" s="2" t="n">
        <v>99.2</v>
      </c>
      <c r="F7" s="2" t="n">
        <v>99.6</v>
      </c>
      <c r="G7" s="2" t="n">
        <v>99.8</v>
      </c>
      <c r="H7" s="2" t="n">
        <v>100.1</v>
      </c>
      <c r="I7" s="2" t="n">
        <v>100.3</v>
      </c>
      <c r="J7" s="2" t="n">
        <f aca="false">AVERAGE(E7:I7)</f>
        <v>99.8</v>
      </c>
      <c r="K7" s="2" t="n">
        <f aca="false">MAX(E7:I7)-MIN(E7:I7)</f>
        <v>1.09999999999999</v>
      </c>
    </row>
    <row r="8" customFormat="false" ht="15" hidden="false" customHeight="false" outlineLevel="0" collapsed="false">
      <c r="A8" s="2" t="n">
        <v>5</v>
      </c>
      <c r="B8" s="2" t="s">
        <v>21</v>
      </c>
      <c r="C8" s="2" t="s">
        <v>13</v>
      </c>
      <c r="D8" s="2" t="s">
        <v>22</v>
      </c>
      <c r="E8" s="2" t="n">
        <v>99.4</v>
      </c>
      <c r="F8" s="2" t="n">
        <v>99.8</v>
      </c>
      <c r="G8" s="2" t="n">
        <v>100</v>
      </c>
      <c r="H8" s="2" t="n">
        <v>100.3</v>
      </c>
      <c r="I8" s="2" t="n">
        <v>100.5</v>
      </c>
      <c r="J8" s="2" t="n">
        <f aca="false">AVERAGE(E8:I8)</f>
        <v>100</v>
      </c>
      <c r="K8" s="2" t="n">
        <f aca="false">MAX(E8:I8)-MIN(E8:I8)</f>
        <v>1.09999999999999</v>
      </c>
    </row>
    <row r="9" customFormat="false" ht="15" hidden="false" customHeight="false" outlineLevel="0" collapsed="false">
      <c r="A9" s="2" t="n">
        <v>6</v>
      </c>
      <c r="B9" s="2" t="s">
        <v>23</v>
      </c>
      <c r="C9" s="2" t="s">
        <v>13</v>
      </c>
      <c r="D9" s="2" t="s">
        <v>24</v>
      </c>
      <c r="E9" s="2" t="n">
        <v>99.7</v>
      </c>
      <c r="F9" s="2" t="n">
        <v>100.1</v>
      </c>
      <c r="G9" s="2" t="n">
        <v>100.3</v>
      </c>
      <c r="H9" s="2" t="n">
        <v>100.6</v>
      </c>
      <c r="I9" s="2" t="n">
        <v>100.8</v>
      </c>
      <c r="J9" s="2" t="n">
        <f aca="false">AVERAGE(E9:I9)</f>
        <v>100.3</v>
      </c>
      <c r="K9" s="2" t="n">
        <f aca="false">MAX(E9:I9)-MIN(E9:I9)</f>
        <v>1.09999999999999</v>
      </c>
    </row>
    <row r="10" customFormat="false" ht="15" hidden="false" customHeight="false" outlineLevel="0" collapsed="false">
      <c r="A10" s="2" t="n">
        <v>7</v>
      </c>
      <c r="B10" s="2" t="s">
        <v>25</v>
      </c>
      <c r="C10" s="2" t="s">
        <v>13</v>
      </c>
      <c r="D10" s="2" t="s">
        <v>26</v>
      </c>
      <c r="E10" s="2" t="n">
        <v>99.9</v>
      </c>
      <c r="F10" s="2" t="n">
        <v>100.3</v>
      </c>
      <c r="G10" s="2" t="n">
        <v>100.5</v>
      </c>
      <c r="H10" s="2" t="n">
        <v>100.8</v>
      </c>
      <c r="I10" s="2" t="n">
        <v>101</v>
      </c>
      <c r="J10" s="2" t="n">
        <f aca="false">AVERAGE(E10:I10)</f>
        <v>100.5</v>
      </c>
      <c r="K10" s="2" t="n">
        <f aca="false">MAX(E10:I10)-MIN(E10:I10)</f>
        <v>1.09999999999999</v>
      </c>
    </row>
    <row r="11" customFormat="false" ht="15" hidden="false" customHeight="false" outlineLevel="0" collapsed="false">
      <c r="A11" s="2" t="n">
        <v>8</v>
      </c>
      <c r="B11" s="2" t="s">
        <v>27</v>
      </c>
      <c r="C11" s="2" t="s">
        <v>13</v>
      </c>
      <c r="D11" s="2" t="s">
        <v>28</v>
      </c>
      <c r="E11" s="2" t="n">
        <v>100.2</v>
      </c>
      <c r="F11" s="2" t="n">
        <v>100.6</v>
      </c>
      <c r="G11" s="2" t="n">
        <v>100.8</v>
      </c>
      <c r="H11" s="2" t="n">
        <v>101.1</v>
      </c>
      <c r="I11" s="2" t="n">
        <v>101.3</v>
      </c>
      <c r="J11" s="2" t="n">
        <f aca="false">AVERAGE(E11:I11)</f>
        <v>100.8</v>
      </c>
      <c r="K11" s="2" t="n">
        <f aca="false">MAX(E11:I11)-MIN(E11:I11)</f>
        <v>1.09999999999999</v>
      </c>
    </row>
    <row r="12" customFormat="false" ht="15" hidden="false" customHeight="false" outlineLevel="0" collapsed="false">
      <c r="A12" s="2" t="n">
        <v>9</v>
      </c>
      <c r="B12" s="2" t="s">
        <v>29</v>
      </c>
      <c r="C12" s="2" t="s">
        <v>13</v>
      </c>
      <c r="D12" s="2" t="s">
        <v>30</v>
      </c>
      <c r="E12" s="2" t="n">
        <v>100.4</v>
      </c>
      <c r="F12" s="2" t="n">
        <v>100.8</v>
      </c>
      <c r="G12" s="2" t="n">
        <v>101</v>
      </c>
      <c r="H12" s="2" t="n">
        <v>101.3</v>
      </c>
      <c r="I12" s="2" t="n">
        <v>101.5</v>
      </c>
      <c r="J12" s="2" t="n">
        <f aca="false">AVERAGE(E12:I12)</f>
        <v>101</v>
      </c>
      <c r="K12" s="2" t="n">
        <f aca="false">MAX(E12:I12)-MIN(E12:I12)</f>
        <v>1.09999999999999</v>
      </c>
    </row>
    <row r="13" customFormat="false" ht="15" hidden="false" customHeight="false" outlineLevel="0" collapsed="false">
      <c r="A13" s="2" t="n">
        <v>10</v>
      </c>
      <c r="B13" s="2" t="s">
        <v>31</v>
      </c>
      <c r="C13" s="2" t="s">
        <v>32</v>
      </c>
      <c r="D13" s="2" t="s">
        <v>33</v>
      </c>
      <c r="E13" s="2" t="n">
        <v>100.6</v>
      </c>
      <c r="F13" s="2" t="n">
        <v>101</v>
      </c>
      <c r="G13" s="2" t="n">
        <v>101.2</v>
      </c>
      <c r="H13" s="2" t="n">
        <v>101.5</v>
      </c>
      <c r="I13" s="2" t="n">
        <v>101.7</v>
      </c>
      <c r="J13" s="2" t="n">
        <f aca="false">AVERAGE(E13:I13)</f>
        <v>101.2</v>
      </c>
      <c r="K13" s="2" t="n">
        <f aca="false">MAX(E13:I13)-MIN(E13:I13)</f>
        <v>1.10000000000001</v>
      </c>
    </row>
    <row r="14" customFormat="false" ht="15" hidden="false" customHeight="false" outlineLevel="0" collapsed="false">
      <c r="A14" s="2" t="n">
        <v>11</v>
      </c>
      <c r="B14" s="2" t="s">
        <v>34</v>
      </c>
      <c r="C14" s="2" t="s">
        <v>32</v>
      </c>
      <c r="D14" s="2" t="s">
        <v>35</v>
      </c>
      <c r="E14" s="2" t="n">
        <v>100.9</v>
      </c>
      <c r="F14" s="2" t="n">
        <v>101.3</v>
      </c>
      <c r="G14" s="2" t="n">
        <v>101.5</v>
      </c>
      <c r="H14" s="2" t="n">
        <v>101.8</v>
      </c>
      <c r="I14" s="2" t="n">
        <v>102</v>
      </c>
      <c r="J14" s="2" t="n">
        <f aca="false">AVERAGE(E14:I14)</f>
        <v>101.5</v>
      </c>
      <c r="K14" s="2" t="n">
        <f aca="false">MAX(E14:I14)-MIN(E14:I14)</f>
        <v>1.09999999999999</v>
      </c>
    </row>
    <row r="15" customFormat="false" ht="15" hidden="false" customHeight="false" outlineLevel="0" collapsed="false">
      <c r="A15" s="2" t="n">
        <v>12</v>
      </c>
      <c r="B15" s="2" t="s">
        <v>36</v>
      </c>
      <c r="C15" s="2" t="s">
        <v>32</v>
      </c>
      <c r="D15" s="2" t="s">
        <v>37</v>
      </c>
      <c r="E15" s="2" t="n">
        <v>101.2</v>
      </c>
      <c r="F15" s="2" t="n">
        <v>101.6</v>
      </c>
      <c r="G15" s="2" t="n">
        <v>101.8</v>
      </c>
      <c r="H15" s="2" t="n">
        <v>102.1</v>
      </c>
      <c r="I15" s="2" t="n">
        <v>102.3</v>
      </c>
      <c r="J15" s="2" t="n">
        <f aca="false">AVERAGE(E15:I15)</f>
        <v>101.8</v>
      </c>
      <c r="K15" s="2" t="n">
        <f aca="false">MAX(E15:I15)-MIN(E15:I15)</f>
        <v>1.09999999999999</v>
      </c>
    </row>
    <row r="16" customFormat="false" ht="15" hidden="false" customHeight="false" outlineLevel="0" collapsed="false">
      <c r="A16" s="2" t="n">
        <v>13</v>
      </c>
      <c r="B16" s="2" t="s">
        <v>38</v>
      </c>
      <c r="C16" s="2" t="s">
        <v>32</v>
      </c>
      <c r="D16" s="2" t="s">
        <v>39</v>
      </c>
      <c r="E16" s="2" t="n">
        <v>101.5</v>
      </c>
      <c r="F16" s="2" t="n">
        <v>101.9</v>
      </c>
      <c r="G16" s="2" t="n">
        <v>102.1</v>
      </c>
      <c r="H16" s="2" t="n">
        <v>102.4</v>
      </c>
      <c r="I16" s="2" t="n">
        <v>102.6</v>
      </c>
      <c r="J16" s="2" t="n">
        <f aca="false">AVERAGE(E16:I16)</f>
        <v>102.1</v>
      </c>
      <c r="K16" s="2" t="n">
        <f aca="false">MAX(E16:I16)-MIN(E16:I16)</f>
        <v>1.09999999999999</v>
      </c>
    </row>
    <row r="17" customFormat="false" ht="15" hidden="false" customHeight="false" outlineLevel="0" collapsed="false">
      <c r="A17" s="2" t="n">
        <v>14</v>
      </c>
      <c r="B17" s="2" t="s">
        <v>40</v>
      </c>
      <c r="C17" s="2" t="s">
        <v>32</v>
      </c>
      <c r="D17" s="2" t="s">
        <v>41</v>
      </c>
      <c r="E17" s="2" t="n">
        <v>101.9</v>
      </c>
      <c r="F17" s="2" t="n">
        <v>102.3</v>
      </c>
      <c r="G17" s="2" t="n">
        <v>102.5</v>
      </c>
      <c r="H17" s="2" t="n">
        <v>102.8</v>
      </c>
      <c r="I17" s="2" t="n">
        <v>103</v>
      </c>
      <c r="J17" s="2" t="n">
        <f aca="false">AVERAGE(E17:I17)</f>
        <v>102.5</v>
      </c>
      <c r="K17" s="2" t="n">
        <f aca="false">MAX(E17:I17)-MIN(E17:I17)</f>
        <v>1.09999999999999</v>
      </c>
    </row>
    <row r="18" customFormat="false" ht="15" hidden="false" customHeight="false" outlineLevel="0" collapsed="false">
      <c r="A18" s="2" t="n">
        <v>15</v>
      </c>
      <c r="B18" s="2" t="s">
        <v>42</v>
      </c>
      <c r="C18" s="2" t="s">
        <v>32</v>
      </c>
      <c r="D18" s="2" t="s">
        <v>43</v>
      </c>
      <c r="E18" s="2" t="n">
        <v>102.4</v>
      </c>
      <c r="F18" s="2" t="n">
        <v>102.8</v>
      </c>
      <c r="G18" s="2" t="n">
        <v>103</v>
      </c>
      <c r="H18" s="2" t="n">
        <v>103.3</v>
      </c>
      <c r="I18" s="2" t="n">
        <v>103.5</v>
      </c>
      <c r="J18" s="2" t="n">
        <f aca="false">AVERAGE(E18:I18)</f>
        <v>103</v>
      </c>
      <c r="K18" s="2" t="n">
        <f aca="false">MAX(E18:I18)-MIN(E18:I18)</f>
        <v>1.09999999999999</v>
      </c>
    </row>
    <row r="19" customFormat="false" ht="15" hidden="false" customHeight="false" outlineLevel="0" collapsed="false">
      <c r="A19" s="2" t="n">
        <v>16</v>
      </c>
      <c r="B19" s="2" t="s">
        <v>44</v>
      </c>
      <c r="C19" s="2" t="s">
        <v>32</v>
      </c>
      <c r="D19" s="2" t="s">
        <v>45</v>
      </c>
      <c r="E19" s="2" t="n">
        <v>102.8</v>
      </c>
      <c r="F19" s="2" t="n">
        <v>103.2</v>
      </c>
      <c r="G19" s="2" t="n">
        <v>103.4</v>
      </c>
      <c r="H19" s="2" t="n">
        <v>103.7</v>
      </c>
      <c r="I19" s="2" t="n">
        <v>103.9</v>
      </c>
      <c r="J19" s="2" t="n">
        <f aca="false">AVERAGE(E19:I19)</f>
        <v>103.4</v>
      </c>
      <c r="K19" s="2" t="n">
        <f aca="false">MAX(E19:I19)-MIN(E19:I19)</f>
        <v>1.10000000000001</v>
      </c>
    </row>
    <row r="20" customFormat="false" ht="15" hidden="false" customHeight="false" outlineLevel="0" collapsed="false">
      <c r="A20" s="2" t="n">
        <v>17</v>
      </c>
      <c r="B20" s="2" t="s">
        <v>46</v>
      </c>
      <c r="C20" s="2" t="s">
        <v>32</v>
      </c>
      <c r="D20" s="2" t="s">
        <v>47</v>
      </c>
      <c r="E20" s="2" t="n">
        <v>103.4</v>
      </c>
      <c r="F20" s="2" t="n">
        <v>103.8</v>
      </c>
      <c r="G20" s="2" t="n">
        <v>104</v>
      </c>
      <c r="H20" s="2" t="n">
        <v>104.3</v>
      </c>
      <c r="I20" s="2" t="n">
        <v>104.5</v>
      </c>
      <c r="J20" s="2" t="n">
        <f aca="false">AVERAGE(E20:I20)</f>
        <v>104</v>
      </c>
      <c r="K20" s="2" t="n">
        <f aca="false">MAX(E20:I20)-MIN(E20:I20)</f>
        <v>1.09999999999999</v>
      </c>
    </row>
    <row r="21" customFormat="false" ht="15" hidden="false" customHeight="false" outlineLevel="0" collapsed="false">
      <c r="A21" s="2" t="n">
        <v>18</v>
      </c>
      <c r="B21" s="2" t="s">
        <v>48</v>
      </c>
      <c r="C21" s="2" t="s">
        <v>32</v>
      </c>
      <c r="D21" s="2" t="s">
        <v>49</v>
      </c>
      <c r="E21" s="2" t="n">
        <v>104.2</v>
      </c>
      <c r="F21" s="2" t="n">
        <v>104.6</v>
      </c>
      <c r="G21" s="2" t="n">
        <v>104.8</v>
      </c>
      <c r="H21" s="2" t="n">
        <v>105.1</v>
      </c>
      <c r="I21" s="2" t="n">
        <v>105.3</v>
      </c>
      <c r="J21" s="2" t="n">
        <f aca="false">AVERAGE(E21:I21)</f>
        <v>104.8</v>
      </c>
      <c r="K21" s="2" t="n">
        <f aca="false">MAX(E21:I21)-MIN(E21:I21)</f>
        <v>1.09999999999999</v>
      </c>
    </row>
    <row r="22" customFormat="false" ht="15" hidden="false" customHeight="false" outlineLevel="0" collapsed="false">
      <c r="A22" s="2" t="n">
        <v>19</v>
      </c>
      <c r="B22" s="2" t="s">
        <v>50</v>
      </c>
      <c r="C22" s="2" t="s">
        <v>32</v>
      </c>
      <c r="D22" s="2" t="s">
        <v>51</v>
      </c>
      <c r="E22" s="2" t="n">
        <v>105.6</v>
      </c>
      <c r="F22" s="2" t="n">
        <v>106</v>
      </c>
      <c r="G22" s="2" t="n">
        <v>106.2</v>
      </c>
      <c r="H22" s="2" t="n">
        <v>106.5</v>
      </c>
      <c r="I22" s="2" t="n">
        <v>106.7</v>
      </c>
      <c r="J22" s="2" t="n">
        <f aca="false">AVERAGE(E22:I22)</f>
        <v>106.2</v>
      </c>
      <c r="K22" s="2" t="n">
        <f aca="false">MAX(E22:I22)-MIN(E22:I22)</f>
        <v>1.10000000000001</v>
      </c>
    </row>
    <row r="23" customFormat="false" ht="15" hidden="false" customHeight="false" outlineLevel="0" collapsed="false">
      <c r="A23" s="2" t="n">
        <v>20</v>
      </c>
      <c r="B23" s="2" t="s">
        <v>52</v>
      </c>
      <c r="C23" s="2" t="s">
        <v>32</v>
      </c>
      <c r="D23" s="2" t="s">
        <v>53</v>
      </c>
      <c r="E23" s="2" t="n">
        <v>103.5</v>
      </c>
      <c r="F23" s="2" t="n">
        <v>103.9</v>
      </c>
      <c r="G23" s="2" t="n">
        <v>104.1</v>
      </c>
      <c r="H23" s="2" t="n">
        <v>104.4</v>
      </c>
      <c r="I23" s="2" t="n">
        <v>104.6</v>
      </c>
      <c r="J23" s="2" t="n">
        <f aca="false">AVERAGE(E23:I23)</f>
        <v>104.1</v>
      </c>
      <c r="K23" s="2" t="n">
        <f aca="false">MAX(E23:I23)-MIN(E23:I23)</f>
        <v>1.09999999999999</v>
      </c>
    </row>
  </sheetData>
  <mergeCells count="1">
    <mergeCell ref="A1:K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8"/>
    <col collapsed="false" customWidth="true" hidden="false" outlineLevel="0" max="3" min="3" style="0" width="30"/>
    <col collapsed="false" customWidth="true" hidden="false" outlineLevel="0" max="4" min="4" style="0" width="22"/>
    <col collapsed="false" customWidth="true" hidden="false" outlineLevel="0" max="5" min="5" style="0" width="14"/>
    <col collapsed="false" customWidth="true" hidden="false" outlineLevel="0" max="6" min="6" style="0" width="22"/>
  </cols>
  <sheetData>
    <row r="1" customFormat="false" ht="27.75" hidden="false" customHeight="true" outlineLevel="0" collapsed="false">
      <c r="A1" s="1" t="s">
        <v>54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/>
      <c r="B2" s="2"/>
      <c r="C2" s="2"/>
      <c r="D2" s="2"/>
      <c r="E2" s="2"/>
      <c r="F2" s="2"/>
    </row>
    <row r="3" customFormat="false" ht="15" hidden="false" customHeight="false" outlineLevel="0" collapsed="false">
      <c r="A3" s="3" t="s">
        <v>55</v>
      </c>
      <c r="B3" s="3" t="s">
        <v>56</v>
      </c>
      <c r="C3" s="3" t="s">
        <v>57</v>
      </c>
      <c r="D3" s="3" t="s">
        <v>58</v>
      </c>
      <c r="E3" s="3" t="s">
        <v>59</v>
      </c>
      <c r="F3" s="3" t="s">
        <v>60</v>
      </c>
    </row>
    <row r="4" customFormat="false" ht="15" hidden="false" customHeight="false" outlineLevel="0" collapsed="false">
      <c r="A4" s="4" t="s">
        <v>61</v>
      </c>
      <c r="B4" s="4" t="n">
        <f aca="false">AVERAGE(Subgroups!J4:J23)</f>
        <v>101.76</v>
      </c>
      <c r="C4" s="4" t="s">
        <v>62</v>
      </c>
      <c r="D4" s="4" t="s">
        <v>63</v>
      </c>
      <c r="E4" s="4" t="s">
        <v>64</v>
      </c>
      <c r="F4" s="4" t="s">
        <v>65</v>
      </c>
    </row>
    <row r="5" customFormat="false" ht="15" hidden="false" customHeight="false" outlineLevel="0" collapsed="false">
      <c r="A5" s="4" t="s">
        <v>66</v>
      </c>
      <c r="B5" s="4" t="n">
        <f aca="false">AVERAGE(Subgroups!K4:K23)</f>
        <v>1.1</v>
      </c>
      <c r="C5" s="4" t="s">
        <v>67</v>
      </c>
      <c r="D5" s="4" t="s">
        <v>63</v>
      </c>
      <c r="E5" s="4" t="s">
        <v>64</v>
      </c>
      <c r="F5" s="4" t="s">
        <v>65</v>
      </c>
    </row>
    <row r="6" customFormat="false" ht="15" hidden="false" customHeight="false" outlineLevel="0" collapsed="false">
      <c r="A6" s="4" t="s">
        <v>68</v>
      </c>
      <c r="B6" s="4" t="n">
        <f aca="false">B4+0.577*B5</f>
        <v>102.3947</v>
      </c>
      <c r="C6" s="4" t="s">
        <v>69</v>
      </c>
      <c r="D6" s="4" t="s">
        <v>70</v>
      </c>
      <c r="E6" s="4" t="str">
        <f aca="false">IF(MAX(Subgroups!J4:J23)&gt;B6,"SIGNAL","OK")</f>
        <v>SIGNAL</v>
      </c>
      <c r="F6" s="4" t="s">
        <v>71</v>
      </c>
    </row>
    <row r="7" customFormat="false" ht="15" hidden="false" customHeight="false" outlineLevel="0" collapsed="false">
      <c r="A7" s="4" t="s">
        <v>72</v>
      </c>
      <c r="B7" s="4" t="n">
        <f aca="false">B4-0.577*B5</f>
        <v>101.1253</v>
      </c>
      <c r="C7" s="4" t="s">
        <v>73</v>
      </c>
      <c r="D7" s="4" t="s">
        <v>74</v>
      </c>
      <c r="E7" s="4" t="str">
        <f aca="false">IF(MIN(Subgroups!J4:J23)&lt;B7,"SIGNAL","OK")</f>
        <v>SIGNAL</v>
      </c>
      <c r="F7" s="4" t="s">
        <v>71</v>
      </c>
    </row>
    <row r="8" customFormat="false" ht="15" hidden="false" customHeight="false" outlineLevel="0" collapsed="false">
      <c r="A8" s="4" t="s">
        <v>75</v>
      </c>
      <c r="B8" s="4" t="n">
        <f aca="false">2.114*B5</f>
        <v>2.3254</v>
      </c>
      <c r="C8" s="4" t="s">
        <v>76</v>
      </c>
      <c r="D8" s="4" t="s">
        <v>77</v>
      </c>
      <c r="E8" s="4" t="str">
        <f aca="false">IF(MAX(Subgroups!K4:K23)&gt;B8,"SIGNAL","OK")</f>
        <v>OK</v>
      </c>
      <c r="F8" s="4" t="s">
        <v>71</v>
      </c>
    </row>
    <row r="9" customFormat="false" ht="15" hidden="false" customHeight="false" outlineLevel="0" collapsed="false">
      <c r="A9" s="4" t="s">
        <v>78</v>
      </c>
      <c r="B9" s="4" t="n">
        <f aca="false">0*B5</f>
        <v>0</v>
      </c>
      <c r="C9" s="4" t="s">
        <v>79</v>
      </c>
      <c r="D9" s="4" t="s">
        <v>63</v>
      </c>
      <c r="E9" s="4" t="s">
        <v>64</v>
      </c>
      <c r="F9" s="4" t="s">
        <v>71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2026-08-19T16:22:21Z</dcterms:created>
  <dc:creator>openpyxl</dc:creator>
  <dc:description/>
  <dc:language>en-SG</dc:language>
  <cp:lastModifiedBy/>
  <dcterms:modified xsi:type="dcterms:W3CDTF">2026-08-20T00:23:26Z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