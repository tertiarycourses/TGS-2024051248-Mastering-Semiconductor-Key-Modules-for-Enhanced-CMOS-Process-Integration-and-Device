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groups" sheetId="1" state="visible" r:id="rId1"/>
    <sheet xmlns:r="http://schemas.openxmlformats.org/officeDocument/2006/relationships" name="SPC Summary" sheetId="2" state="visible" r:id="rId2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0"/>
    </font>
    <font>
      <name val="Arial"/>
      <color rgb="000000FF"/>
      <sz val="10"/>
    </font>
    <font>
      <name val="Arial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2344D"/>
      </patternFill>
    </fill>
    <fill>
      <patternFill patternType="solid">
        <fgColor rgb="0010B981"/>
      </patternFill>
    </fill>
  </fills>
  <borders count="2">
    <border>
      <left/>
      <right/>
      <top/>
      <bottom/>
      <diagonal/>
    </border>
    <border>
      <left style="thin">
        <color rgb="00B8C5D1"/>
      </left>
      <right style="thin">
        <color rgb="00B8C5D1"/>
      </right>
      <top style="thin">
        <color rgb="00B8C5D1"/>
      </top>
      <bottom style="thin">
        <color rgb="00B8C5D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4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Subgroup Xbar</a:t>
            </a:r>
          </a:p>
        </rich>
      </tx>
    </title>
    <plotArea>
      <lineChart>
        <grouping val="standard"/>
        <ser>
          <idx val="0"/>
          <order val="0"/>
          <tx>
            <strRef>
              <f>'Subgroups'!J3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'Subgroups'!$A$4:$A$23</f>
            </numRef>
          </cat>
          <val>
            <numRef>
              <f>'Subgroups'!$J$4:$J$23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Subgroup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CD (nm)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4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  <col width="12" customWidth="1" min="11" max="11"/>
  </cols>
  <sheetData>
    <row r="1" ht="28" customHeight="1">
      <c r="A1" s="1" t="inlineStr">
        <is>
          <t>STI Active-Area CD SPC Data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3" t="inlineStr">
        <is>
          <t>Subgroup</t>
        </is>
      </c>
      <c r="B3" s="3" t="inlineStr">
        <is>
          <t>Timestamp</t>
        </is>
      </c>
      <c r="C3" s="3" t="inlineStr">
        <is>
          <t>Tool</t>
        </is>
      </c>
      <c r="D3" s="3" t="inlineStr">
        <is>
          <t>Lot</t>
        </is>
      </c>
      <c r="E3" s="3" t="inlineStr">
        <is>
          <t>CD1</t>
        </is>
      </c>
      <c r="F3" s="3" t="inlineStr">
        <is>
          <t>CD2</t>
        </is>
      </c>
      <c r="G3" s="3" t="inlineStr">
        <is>
          <t>CD3</t>
        </is>
      </c>
      <c r="H3" s="3" t="inlineStr">
        <is>
          <t>CD4</t>
        </is>
      </c>
      <c r="I3" s="3" t="inlineStr">
        <is>
          <t>CD5</t>
        </is>
      </c>
      <c r="J3" s="3" t="inlineStr">
        <is>
          <t>Xbar</t>
        </is>
      </c>
      <c r="K3" s="3" t="inlineStr">
        <is>
          <t>Range</t>
        </is>
      </c>
    </row>
    <row r="4">
      <c r="A4" s="2" t="n">
        <v>1</v>
      </c>
      <c r="B4" s="2" t="inlineStr">
        <is>
          <t>2026-08-20 09:00</t>
        </is>
      </c>
      <c r="C4" s="2" t="inlineStr">
        <is>
          <t>LITHO-01</t>
        </is>
      </c>
      <c r="D4" s="2" t="inlineStr">
        <is>
          <t>LOT-1001</t>
        </is>
      </c>
      <c r="E4" s="2" t="n">
        <v>98.59999999999999</v>
      </c>
      <c r="F4" s="2" t="n">
        <v>99</v>
      </c>
      <c r="G4" s="2" t="n">
        <v>99.2</v>
      </c>
      <c r="H4" s="2" t="n">
        <v>99.5</v>
      </c>
      <c r="I4" s="2" t="n">
        <v>99.7</v>
      </c>
      <c r="J4" s="2">
        <f>AVERAGE(E4:I4)</f>
        <v/>
      </c>
      <c r="K4" s="2">
        <f>MAX(E4:I4)-MIN(E4:I4)</f>
        <v/>
      </c>
    </row>
    <row r="5">
      <c r="A5" s="2" t="n">
        <v>2</v>
      </c>
      <c r="B5" s="2" t="inlineStr">
        <is>
          <t>2026-08-20 09:10</t>
        </is>
      </c>
      <c r="C5" s="2" t="inlineStr">
        <is>
          <t>LITHO-01</t>
        </is>
      </c>
      <c r="D5" s="2" t="inlineStr">
        <is>
          <t>LOT-1002</t>
        </is>
      </c>
      <c r="E5" s="2" t="n">
        <v>98.8</v>
      </c>
      <c r="F5" s="2" t="n">
        <v>99.2</v>
      </c>
      <c r="G5" s="2" t="n">
        <v>99.40000000000001</v>
      </c>
      <c r="H5" s="2" t="n">
        <v>99.7</v>
      </c>
      <c r="I5" s="2" t="n">
        <v>99.90000000000001</v>
      </c>
      <c r="J5" s="2">
        <f>AVERAGE(E5:I5)</f>
        <v/>
      </c>
      <c r="K5" s="2">
        <f>MAX(E5:I5)-MIN(E5:I5)</f>
        <v/>
      </c>
    </row>
    <row r="6">
      <c r="A6" s="2" t="n">
        <v>3</v>
      </c>
      <c r="B6" s="2" t="inlineStr">
        <is>
          <t>2026-08-20 09:20</t>
        </is>
      </c>
      <c r="C6" s="2" t="inlineStr">
        <is>
          <t>LITHO-01</t>
        </is>
      </c>
      <c r="D6" s="2" t="inlineStr">
        <is>
          <t>LOT-1003</t>
        </is>
      </c>
      <c r="E6" s="2" t="n">
        <v>99</v>
      </c>
      <c r="F6" s="2" t="n">
        <v>99.40000000000001</v>
      </c>
      <c r="G6" s="2" t="n">
        <v>99.59999999999999</v>
      </c>
      <c r="H6" s="2" t="n">
        <v>99.90000000000001</v>
      </c>
      <c r="I6" s="2" t="n">
        <v>100.1</v>
      </c>
      <c r="J6" s="2">
        <f>AVERAGE(E6:I6)</f>
        <v/>
      </c>
      <c r="K6" s="2">
        <f>MAX(E6:I6)-MIN(E6:I6)</f>
        <v/>
      </c>
    </row>
    <row r="7">
      <c r="A7" s="2" t="n">
        <v>4</v>
      </c>
      <c r="B7" s="2" t="inlineStr">
        <is>
          <t>2026-08-20 09:30</t>
        </is>
      </c>
      <c r="C7" s="2" t="inlineStr">
        <is>
          <t>LITHO-01</t>
        </is>
      </c>
      <c r="D7" s="2" t="inlineStr">
        <is>
          <t>LOT-1004</t>
        </is>
      </c>
      <c r="E7" s="2" t="n">
        <v>99.2</v>
      </c>
      <c r="F7" s="2" t="n">
        <v>99.59999999999999</v>
      </c>
      <c r="G7" s="2" t="n">
        <v>99.8</v>
      </c>
      <c r="H7" s="2" t="n">
        <v>100.1</v>
      </c>
      <c r="I7" s="2" t="n">
        <v>100.3</v>
      </c>
      <c r="J7" s="2">
        <f>AVERAGE(E7:I7)</f>
        <v/>
      </c>
      <c r="K7" s="2">
        <f>MAX(E7:I7)-MIN(E7:I7)</f>
        <v/>
      </c>
    </row>
    <row r="8">
      <c r="A8" s="2" t="n">
        <v>5</v>
      </c>
      <c r="B8" s="2" t="inlineStr">
        <is>
          <t>2026-08-20 09:40</t>
        </is>
      </c>
      <c r="C8" s="2" t="inlineStr">
        <is>
          <t>LITHO-01</t>
        </is>
      </c>
      <c r="D8" s="2" t="inlineStr">
        <is>
          <t>LOT-1005</t>
        </is>
      </c>
      <c r="E8" s="2" t="n">
        <v>99.40000000000001</v>
      </c>
      <c r="F8" s="2" t="n">
        <v>99.8</v>
      </c>
      <c r="G8" s="2" t="n">
        <v>100</v>
      </c>
      <c r="H8" s="2" t="n">
        <v>100.3</v>
      </c>
      <c r="I8" s="2" t="n">
        <v>100.5</v>
      </c>
      <c r="J8" s="2">
        <f>AVERAGE(E8:I8)</f>
        <v/>
      </c>
      <c r="K8" s="2">
        <f>MAX(E8:I8)-MIN(E8:I8)</f>
        <v/>
      </c>
    </row>
    <row r="9">
      <c r="A9" s="2" t="n">
        <v>6</v>
      </c>
      <c r="B9" s="2" t="inlineStr">
        <is>
          <t>2026-08-20 09:50</t>
        </is>
      </c>
      <c r="C9" s="2" t="inlineStr">
        <is>
          <t>LITHO-01</t>
        </is>
      </c>
      <c r="D9" s="2" t="inlineStr">
        <is>
          <t>LOT-1006</t>
        </is>
      </c>
      <c r="E9" s="2" t="n">
        <v>99.7</v>
      </c>
      <c r="F9" s="2" t="n">
        <v>100.1</v>
      </c>
      <c r="G9" s="2" t="n">
        <v>100.3</v>
      </c>
      <c r="H9" s="2" t="n">
        <v>100.6</v>
      </c>
      <c r="I9" s="2" t="n">
        <v>100.8</v>
      </c>
      <c r="J9" s="2">
        <f>AVERAGE(E9:I9)</f>
        <v/>
      </c>
      <c r="K9" s="2">
        <f>MAX(E9:I9)-MIN(E9:I9)</f>
        <v/>
      </c>
    </row>
    <row r="10">
      <c r="A10" s="2" t="n">
        <v>7</v>
      </c>
      <c r="B10" s="2" t="inlineStr">
        <is>
          <t>2026-08-20 10:00</t>
        </is>
      </c>
      <c r="C10" s="2" t="inlineStr">
        <is>
          <t>LITHO-01</t>
        </is>
      </c>
      <c r="D10" s="2" t="inlineStr">
        <is>
          <t>LOT-1007</t>
        </is>
      </c>
      <c r="E10" s="2" t="n">
        <v>99.90000000000001</v>
      </c>
      <c r="F10" s="2" t="n">
        <v>100.3</v>
      </c>
      <c r="G10" s="2" t="n">
        <v>100.5</v>
      </c>
      <c r="H10" s="2" t="n">
        <v>100.8</v>
      </c>
      <c r="I10" s="2" t="n">
        <v>101</v>
      </c>
      <c r="J10" s="2">
        <f>AVERAGE(E10:I10)</f>
        <v/>
      </c>
      <c r="K10" s="2">
        <f>MAX(E10:I10)-MIN(E10:I10)</f>
        <v/>
      </c>
    </row>
    <row r="11">
      <c r="A11" s="2" t="n">
        <v>8</v>
      </c>
      <c r="B11" s="2" t="inlineStr">
        <is>
          <t>2026-08-20 10:10</t>
        </is>
      </c>
      <c r="C11" s="2" t="inlineStr">
        <is>
          <t>LITHO-01</t>
        </is>
      </c>
      <c r="D11" s="2" t="inlineStr">
        <is>
          <t>LOT-1008</t>
        </is>
      </c>
      <c r="E11" s="2" t="n">
        <v>100.2</v>
      </c>
      <c r="F11" s="2" t="n">
        <v>100.6</v>
      </c>
      <c r="G11" s="2" t="n">
        <v>100.8</v>
      </c>
      <c r="H11" s="2" t="n">
        <v>101.1</v>
      </c>
      <c r="I11" s="2" t="n">
        <v>101.3</v>
      </c>
      <c r="J11" s="2">
        <f>AVERAGE(E11:I11)</f>
        <v/>
      </c>
      <c r="K11" s="2">
        <f>MAX(E11:I11)-MIN(E11:I11)</f>
        <v/>
      </c>
    </row>
    <row r="12">
      <c r="A12" s="2" t="n">
        <v>9</v>
      </c>
      <c r="B12" s="2" t="inlineStr">
        <is>
          <t>2026-08-20 10:20</t>
        </is>
      </c>
      <c r="C12" s="2" t="inlineStr">
        <is>
          <t>LITHO-01</t>
        </is>
      </c>
      <c r="D12" s="2" t="inlineStr">
        <is>
          <t>LOT-1009</t>
        </is>
      </c>
      <c r="E12" s="2" t="n">
        <v>100.4</v>
      </c>
      <c r="F12" s="2" t="n">
        <v>100.8</v>
      </c>
      <c r="G12" s="2" t="n">
        <v>101</v>
      </c>
      <c r="H12" s="2" t="n">
        <v>101.3</v>
      </c>
      <c r="I12" s="2" t="n">
        <v>101.5</v>
      </c>
      <c r="J12" s="2">
        <f>AVERAGE(E12:I12)</f>
        <v/>
      </c>
      <c r="K12" s="2">
        <f>MAX(E12:I12)-MIN(E12:I12)</f>
        <v/>
      </c>
    </row>
    <row r="13">
      <c r="A13" s="2" t="n">
        <v>10</v>
      </c>
      <c r="B13" s="2" t="inlineStr">
        <is>
          <t>2026-08-20 10:30</t>
        </is>
      </c>
      <c r="C13" s="2" t="inlineStr">
        <is>
          <t>LITHO-02</t>
        </is>
      </c>
      <c r="D13" s="2" t="inlineStr">
        <is>
          <t>LOT-1010</t>
        </is>
      </c>
      <c r="E13" s="2" t="n">
        <v>100.6</v>
      </c>
      <c r="F13" s="2" t="n">
        <v>101</v>
      </c>
      <c r="G13" s="2" t="n">
        <v>101.2</v>
      </c>
      <c r="H13" s="2" t="n">
        <v>101.5</v>
      </c>
      <c r="I13" s="2" t="n">
        <v>101.7</v>
      </c>
      <c r="J13" s="2">
        <f>AVERAGE(E13:I13)</f>
        <v/>
      </c>
      <c r="K13" s="2">
        <f>MAX(E13:I13)-MIN(E13:I13)</f>
        <v/>
      </c>
    </row>
    <row r="14">
      <c r="A14" s="2" t="n">
        <v>11</v>
      </c>
      <c r="B14" s="2" t="inlineStr">
        <is>
          <t>2026-08-20 10:40</t>
        </is>
      </c>
      <c r="C14" s="2" t="inlineStr">
        <is>
          <t>LITHO-02</t>
        </is>
      </c>
      <c r="D14" s="2" t="inlineStr">
        <is>
          <t>LOT-1011</t>
        </is>
      </c>
      <c r="E14" s="2" t="n">
        <v>100.9</v>
      </c>
      <c r="F14" s="2" t="n">
        <v>101.3</v>
      </c>
      <c r="G14" s="2" t="n">
        <v>101.5</v>
      </c>
      <c r="H14" s="2" t="n">
        <v>101.8</v>
      </c>
      <c r="I14" s="2" t="n">
        <v>102</v>
      </c>
      <c r="J14" s="2">
        <f>AVERAGE(E14:I14)</f>
        <v/>
      </c>
      <c r="K14" s="2">
        <f>MAX(E14:I14)-MIN(E14:I14)</f>
        <v/>
      </c>
    </row>
    <row r="15">
      <c r="A15" s="2" t="n">
        <v>12</v>
      </c>
      <c r="B15" s="2" t="inlineStr">
        <is>
          <t>2026-08-20 10:50</t>
        </is>
      </c>
      <c r="C15" s="2" t="inlineStr">
        <is>
          <t>LITHO-02</t>
        </is>
      </c>
      <c r="D15" s="2" t="inlineStr">
        <is>
          <t>LOT-1012</t>
        </is>
      </c>
      <c r="E15" s="2" t="n">
        <v>101.2</v>
      </c>
      <c r="F15" s="2" t="n">
        <v>101.6</v>
      </c>
      <c r="G15" s="2" t="n">
        <v>101.8</v>
      </c>
      <c r="H15" s="2" t="n">
        <v>102.1</v>
      </c>
      <c r="I15" s="2" t="n">
        <v>102.3</v>
      </c>
      <c r="J15" s="2">
        <f>AVERAGE(E15:I15)</f>
        <v/>
      </c>
      <c r="K15" s="2">
        <f>MAX(E15:I15)-MIN(E15:I15)</f>
        <v/>
      </c>
    </row>
    <row r="16">
      <c r="A16" s="2" t="n">
        <v>13</v>
      </c>
      <c r="B16" s="2" t="inlineStr">
        <is>
          <t>2026-08-20 11:00</t>
        </is>
      </c>
      <c r="C16" s="2" t="inlineStr">
        <is>
          <t>LITHO-02</t>
        </is>
      </c>
      <c r="D16" s="2" t="inlineStr">
        <is>
          <t>LOT-1013</t>
        </is>
      </c>
      <c r="E16" s="2" t="n">
        <v>101.5</v>
      </c>
      <c r="F16" s="2" t="n">
        <v>101.9</v>
      </c>
      <c r="G16" s="2" t="n">
        <v>102.1</v>
      </c>
      <c r="H16" s="2" t="n">
        <v>102.4</v>
      </c>
      <c r="I16" s="2" t="n">
        <v>102.6</v>
      </c>
      <c r="J16" s="2">
        <f>AVERAGE(E16:I16)</f>
        <v/>
      </c>
      <c r="K16" s="2">
        <f>MAX(E16:I16)-MIN(E16:I16)</f>
        <v/>
      </c>
    </row>
    <row r="17">
      <c r="A17" s="2" t="n">
        <v>14</v>
      </c>
      <c r="B17" s="2" t="inlineStr">
        <is>
          <t>2026-08-20 11:10</t>
        </is>
      </c>
      <c r="C17" s="2" t="inlineStr">
        <is>
          <t>LITHO-02</t>
        </is>
      </c>
      <c r="D17" s="2" t="inlineStr">
        <is>
          <t>LOT-1014</t>
        </is>
      </c>
      <c r="E17" s="2" t="n">
        <v>101.9</v>
      </c>
      <c r="F17" s="2" t="n">
        <v>102.3</v>
      </c>
      <c r="G17" s="2" t="n">
        <v>102.5</v>
      </c>
      <c r="H17" s="2" t="n">
        <v>102.8</v>
      </c>
      <c r="I17" s="2" t="n">
        <v>103</v>
      </c>
      <c r="J17" s="2">
        <f>AVERAGE(E17:I17)</f>
        <v/>
      </c>
      <c r="K17" s="2">
        <f>MAX(E17:I17)-MIN(E17:I17)</f>
        <v/>
      </c>
    </row>
    <row r="18">
      <c r="A18" s="2" t="n">
        <v>15</v>
      </c>
      <c r="B18" s="2" t="inlineStr">
        <is>
          <t>2026-08-20 11:20</t>
        </is>
      </c>
      <c r="C18" s="2" t="inlineStr">
        <is>
          <t>LITHO-02</t>
        </is>
      </c>
      <c r="D18" s="2" t="inlineStr">
        <is>
          <t>LOT-1015</t>
        </is>
      </c>
      <c r="E18" s="2" t="n">
        <v>102.4</v>
      </c>
      <c r="F18" s="2" t="n">
        <v>102.8</v>
      </c>
      <c r="G18" s="2" t="n">
        <v>103</v>
      </c>
      <c r="H18" s="2" t="n">
        <v>103.3</v>
      </c>
      <c r="I18" s="2" t="n">
        <v>103.5</v>
      </c>
      <c r="J18" s="2">
        <f>AVERAGE(E18:I18)</f>
        <v/>
      </c>
      <c r="K18" s="2">
        <f>MAX(E18:I18)-MIN(E18:I18)</f>
        <v/>
      </c>
    </row>
    <row r="19">
      <c r="A19" s="2" t="n">
        <v>16</v>
      </c>
      <c r="B19" s="2" t="inlineStr">
        <is>
          <t>2026-08-20 11:30</t>
        </is>
      </c>
      <c r="C19" s="2" t="inlineStr">
        <is>
          <t>LITHO-02</t>
        </is>
      </c>
      <c r="D19" s="2" t="inlineStr">
        <is>
          <t>LOT-1016</t>
        </is>
      </c>
      <c r="E19" s="2" t="n">
        <v>102.8</v>
      </c>
      <c r="F19" s="2" t="n">
        <v>103.2</v>
      </c>
      <c r="G19" s="2" t="n">
        <v>103.4</v>
      </c>
      <c r="H19" s="2" t="n">
        <v>103.7</v>
      </c>
      <c r="I19" s="2" t="n">
        <v>103.9</v>
      </c>
      <c r="J19" s="2">
        <f>AVERAGE(E19:I19)</f>
        <v/>
      </c>
      <c r="K19" s="2">
        <f>MAX(E19:I19)-MIN(E19:I19)</f>
        <v/>
      </c>
    </row>
    <row r="20">
      <c r="A20" s="2" t="n">
        <v>17</v>
      </c>
      <c r="B20" s="2" t="inlineStr">
        <is>
          <t>2026-08-20 11:40</t>
        </is>
      </c>
      <c r="C20" s="2" t="inlineStr">
        <is>
          <t>LITHO-02</t>
        </is>
      </c>
      <c r="D20" s="2" t="inlineStr">
        <is>
          <t>LOT-1017</t>
        </is>
      </c>
      <c r="E20" s="2" t="n">
        <v>103.4</v>
      </c>
      <c r="F20" s="2" t="n">
        <v>103.8</v>
      </c>
      <c r="G20" s="2" t="n">
        <v>104</v>
      </c>
      <c r="H20" s="2" t="n">
        <v>104.3</v>
      </c>
      <c r="I20" s="2" t="n">
        <v>104.5</v>
      </c>
      <c r="J20" s="2">
        <f>AVERAGE(E20:I20)</f>
        <v/>
      </c>
      <c r="K20" s="2">
        <f>MAX(E20:I20)-MIN(E20:I20)</f>
        <v/>
      </c>
    </row>
    <row r="21">
      <c r="A21" s="2" t="n">
        <v>18</v>
      </c>
      <c r="B21" s="2" t="inlineStr">
        <is>
          <t>2026-08-20 11:50</t>
        </is>
      </c>
      <c r="C21" s="2" t="inlineStr">
        <is>
          <t>LITHO-02</t>
        </is>
      </c>
      <c r="D21" s="2" t="inlineStr">
        <is>
          <t>LOT-1018</t>
        </is>
      </c>
      <c r="E21" s="2" t="n">
        <v>104.2</v>
      </c>
      <c r="F21" s="2" t="n">
        <v>104.6</v>
      </c>
      <c r="G21" s="2" t="n">
        <v>104.8</v>
      </c>
      <c r="H21" s="2" t="n">
        <v>105.1</v>
      </c>
      <c r="I21" s="2" t="n">
        <v>105.3</v>
      </c>
      <c r="J21" s="2">
        <f>AVERAGE(E21:I21)</f>
        <v/>
      </c>
      <c r="K21" s="2">
        <f>MAX(E21:I21)-MIN(E21:I21)</f>
        <v/>
      </c>
    </row>
    <row r="22">
      <c r="A22" s="2" t="n">
        <v>19</v>
      </c>
      <c r="B22" s="2" t="inlineStr">
        <is>
          <t>2026-08-20 12:00</t>
        </is>
      </c>
      <c r="C22" s="2" t="inlineStr">
        <is>
          <t>LITHO-02</t>
        </is>
      </c>
      <c r="D22" s="2" t="inlineStr">
        <is>
          <t>LOT-1019</t>
        </is>
      </c>
      <c r="E22" s="2" t="n">
        <v>105.6</v>
      </c>
      <c r="F22" s="2" t="n">
        <v>106</v>
      </c>
      <c r="G22" s="2" t="n">
        <v>106.2</v>
      </c>
      <c r="H22" s="2" t="n">
        <v>106.5</v>
      </c>
      <c r="I22" s="2" t="n">
        <v>106.7</v>
      </c>
      <c r="J22" s="2">
        <f>AVERAGE(E22:I22)</f>
        <v/>
      </c>
      <c r="K22" s="2">
        <f>MAX(E22:I22)-MIN(E22:I22)</f>
        <v/>
      </c>
    </row>
    <row r="23">
      <c r="A23" s="2" t="n">
        <v>20</v>
      </c>
      <c r="B23" s="2" t="inlineStr">
        <is>
          <t>2026-08-20 12:10</t>
        </is>
      </c>
      <c r="C23" s="2" t="inlineStr">
        <is>
          <t>LITHO-02</t>
        </is>
      </c>
      <c r="D23" s="2" t="inlineStr">
        <is>
          <t>LOT-1020</t>
        </is>
      </c>
      <c r="E23" s="2" t="n">
        <v>103.5</v>
      </c>
      <c r="F23" s="2" t="n">
        <v>103.9</v>
      </c>
      <c r="G23" s="2" t="n">
        <v>104.1</v>
      </c>
      <c r="H23" s="2" t="n">
        <v>104.4</v>
      </c>
      <c r="I23" s="2" t="n">
        <v>104.6</v>
      </c>
      <c r="J23" s="2">
        <f>AVERAGE(E23:I23)</f>
        <v/>
      </c>
      <c r="K23" s="2">
        <f>MAX(E23:I23)-MIN(E23:I23)</f>
        <v/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30" customWidth="1" min="3" max="3"/>
    <col width="22" customWidth="1" min="4" max="4"/>
    <col width="14" customWidth="1" min="5" max="5"/>
    <col width="22" customWidth="1" min="6" max="6"/>
  </cols>
  <sheetData>
    <row r="1" ht="28" customHeight="1">
      <c r="A1" s="1" t="inlineStr">
        <is>
          <t>Xbar-R Control Summary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3" t="inlineStr">
        <is>
          <t>Metric</t>
        </is>
      </c>
      <c r="B3" s="3" t="inlineStr">
        <is>
          <t>Value</t>
        </is>
      </c>
      <c r="C3" s="3" t="inlineStr">
        <is>
          <t>Purpose</t>
        </is>
      </c>
      <c r="D3" s="3" t="inlineStr">
        <is>
          <t>Rule</t>
        </is>
      </c>
      <c r="E3" s="3" t="inlineStr">
        <is>
          <t>Result</t>
        </is>
      </c>
      <c r="F3" s="3" t="inlineStr">
        <is>
          <t>Owner</t>
        </is>
      </c>
    </row>
    <row r="4">
      <c r="A4" s="4" t="inlineStr">
        <is>
          <t>X-double-bar</t>
        </is>
      </c>
      <c r="B4" s="4">
        <f>AVERAGE(Subgroups!J4:J23)</f>
        <v/>
      </c>
      <c r="C4" s="4" t="inlineStr">
        <is>
          <t>Centre line</t>
        </is>
      </c>
      <c r="D4" s="4" t="inlineStr">
        <is>
          <t>Reference</t>
        </is>
      </c>
      <c r="E4" s="4" t="inlineStr">
        <is>
          <t>-</t>
        </is>
      </c>
      <c r="F4" s="4" t="inlineStr">
        <is>
          <t>Process integration</t>
        </is>
      </c>
    </row>
    <row r="5">
      <c r="A5" s="4" t="inlineStr">
        <is>
          <t>R-bar</t>
        </is>
      </c>
      <c r="B5" s="4">
        <f>AVERAGE(Subgroups!K4:K23)</f>
        <v/>
      </c>
      <c r="C5" s="4" t="inlineStr">
        <is>
          <t>Average within-subgroup range</t>
        </is>
      </c>
      <c r="D5" s="4" t="inlineStr">
        <is>
          <t>Reference</t>
        </is>
      </c>
      <c r="E5" s="4" t="inlineStr">
        <is>
          <t>-</t>
        </is>
      </c>
      <c r="F5" s="4" t="inlineStr">
        <is>
          <t>Process integration</t>
        </is>
      </c>
    </row>
    <row r="6">
      <c r="A6" s="4" t="inlineStr">
        <is>
          <t>Xbar UCL</t>
        </is>
      </c>
      <c r="B6" s="4">
        <f>B4+0.577*B5</f>
        <v/>
      </c>
      <c r="C6" s="4" t="inlineStr">
        <is>
          <t>Upper control limit</t>
        </is>
      </c>
      <c r="D6" s="4" t="inlineStr">
        <is>
          <t>No point above</t>
        </is>
      </c>
      <c r="E6" s="4">
        <f>IF(MAX(Subgroups!J4:J23)&gt;B6,"SIGNAL","OK")</f>
        <v/>
      </c>
      <c r="F6" s="4" t="inlineStr">
        <is>
          <t>Module owner</t>
        </is>
      </c>
    </row>
    <row r="7">
      <c r="A7" s="4" t="inlineStr">
        <is>
          <t>Xbar LCL</t>
        </is>
      </c>
      <c r="B7" s="4">
        <f>B4-0.577*B5</f>
        <v/>
      </c>
      <c r="C7" s="4" t="inlineStr">
        <is>
          <t>Lower control limit</t>
        </is>
      </c>
      <c r="D7" s="4" t="inlineStr">
        <is>
          <t>No point below</t>
        </is>
      </c>
      <c r="E7" s="4">
        <f>IF(MIN(Subgroups!J4:J23)&lt;B7,"SIGNAL","OK")</f>
        <v/>
      </c>
      <c r="F7" s="4" t="inlineStr">
        <is>
          <t>Module owner</t>
        </is>
      </c>
    </row>
    <row r="8">
      <c r="A8" s="4" t="inlineStr">
        <is>
          <t>R UCL</t>
        </is>
      </c>
      <c r="B8" s="4">
        <f>2.114*B5</f>
        <v/>
      </c>
      <c r="C8" s="4" t="inlineStr">
        <is>
          <t>Range upper limit</t>
        </is>
      </c>
      <c r="D8" s="4" t="inlineStr">
        <is>
          <t>No range above</t>
        </is>
      </c>
      <c r="E8" s="4">
        <f>IF(MAX(Subgroups!K4:K23)&gt;B8,"SIGNAL","OK")</f>
        <v/>
      </c>
      <c r="F8" s="4" t="inlineStr">
        <is>
          <t>Module owner</t>
        </is>
      </c>
    </row>
    <row r="9">
      <c r="A9" s="4" t="inlineStr">
        <is>
          <t>R LCL</t>
        </is>
      </c>
      <c r="B9" s="4">
        <f>0*B5</f>
        <v/>
      </c>
      <c r="C9" s="4" t="inlineStr">
        <is>
          <t>Range lower limit</t>
        </is>
      </c>
      <c r="D9" s="4" t="inlineStr">
        <is>
          <t>Reference</t>
        </is>
      </c>
      <c r="E9" s="4" t="inlineStr">
        <is>
          <t>-</t>
        </is>
      </c>
      <c r="F9" s="4" t="inlineStr">
        <is>
          <t>Module owner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2026-08-19T17:35:54Z</dcterms:created>
  <dcterms:modified xmlns:dcterms="http://purl.org/dc/terms/" xmlns:xsi="http://www.w3.org/2001/XMLSchema-instance" xsi:type="dcterms:W3CDTF">2026-08-19T17:35:54Z</dcterms:modified>
</cp:coreProperties>
</file>