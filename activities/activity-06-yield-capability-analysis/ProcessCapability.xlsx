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nalysis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2344D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B8C5D1"/>
      </left>
      <right style="thin">
        <color rgb="00B8C5D1"/>
      </right>
      <top style="thin">
        <color rgb="00B8C5D1"/>
      </top>
      <bottom style="thin">
        <color rgb="00B8C5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Gate CD by Observation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'Data'!$B$4:$B$33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CD (nm)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1" t="inlineStr">
        <is>
          <t>Process Capability Activity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Purpose</t>
        </is>
      </c>
      <c r="B3" s="2" t="inlineStr">
        <is>
          <t>Use dynamic formulas to evaluate gate-CD centering and spread. Change blue inputs only.</t>
        </is>
      </c>
      <c r="C3" s="2" t="n"/>
      <c r="D3" s="2" t="n"/>
    </row>
    <row r="4">
      <c r="A4" s="2" t="n"/>
      <c r="B4" s="2" t="n"/>
      <c r="C4" s="2" t="n"/>
      <c r="D4" s="2" t="n"/>
    </row>
    <row r="5">
      <c r="A5" s="2" t="inlineStr">
        <is>
          <t>Target</t>
        </is>
      </c>
      <c r="B5" s="2" t="n">
        <v>100</v>
      </c>
      <c r="C5" s="2" t="n"/>
      <c r="D5" s="2" t="n"/>
    </row>
    <row r="6">
      <c r="A6" s="2" t="inlineStr">
        <is>
          <t>LSL</t>
        </is>
      </c>
      <c r="B6" s="2" t="n">
        <v>90</v>
      </c>
      <c r="C6" s="2" t="n"/>
      <c r="D6" s="2" t="n"/>
    </row>
    <row r="7">
      <c r="A7" s="2" t="inlineStr">
        <is>
          <t>USL</t>
        </is>
      </c>
      <c r="B7" s="2" t="n">
        <v>110</v>
      </c>
      <c r="C7" s="2" t="n"/>
      <c r="D7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</cols>
  <sheetData>
    <row r="1" ht="28" customHeight="1">
      <c r="A1" s="1" t="inlineStr">
        <is>
          <t>Gate CD Measurements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Observation</t>
        </is>
      </c>
      <c r="B3" s="3" t="inlineStr">
        <is>
          <t>CD (nm)</t>
        </is>
      </c>
      <c r="C3" s="3" t="inlineStr">
        <is>
          <t>Source</t>
        </is>
      </c>
    </row>
    <row r="4">
      <c r="A4" s="2" t="n">
        <v>1</v>
      </c>
      <c r="B4" s="2" t="n">
        <v>98.2</v>
      </c>
      <c r="C4" s="2" t="inlineStr">
        <is>
          <t>Training dataset</t>
        </is>
      </c>
    </row>
    <row r="5">
      <c r="A5" s="2" t="n">
        <v>2</v>
      </c>
      <c r="B5" s="2" t="n">
        <v>99.09999999999999</v>
      </c>
      <c r="C5" s="2" t="inlineStr">
        <is>
          <t>Training dataset</t>
        </is>
      </c>
    </row>
    <row r="6">
      <c r="A6" s="2" t="n">
        <v>3</v>
      </c>
      <c r="B6" s="2" t="n">
        <v>100.4</v>
      </c>
      <c r="C6" s="2" t="inlineStr">
        <is>
          <t>Training dataset</t>
        </is>
      </c>
    </row>
    <row r="7">
      <c r="A7" s="2" t="n">
        <v>4</v>
      </c>
      <c r="B7" s="2" t="n">
        <v>101</v>
      </c>
      <c r="C7" s="2" t="inlineStr">
        <is>
          <t>Training dataset</t>
        </is>
      </c>
    </row>
    <row r="8">
      <c r="A8" s="2" t="n">
        <v>5</v>
      </c>
      <c r="B8" s="2" t="n">
        <v>97.90000000000001</v>
      </c>
      <c r="C8" s="2" t="inlineStr">
        <is>
          <t>Training dataset</t>
        </is>
      </c>
    </row>
    <row r="9">
      <c r="A9" s="2" t="n">
        <v>6</v>
      </c>
      <c r="B9" s="2" t="n">
        <v>99.8</v>
      </c>
      <c r="C9" s="2" t="inlineStr">
        <is>
          <t>Training dataset</t>
        </is>
      </c>
    </row>
    <row r="10">
      <c r="A10" s="2" t="n">
        <v>7</v>
      </c>
      <c r="B10" s="2" t="n">
        <v>100.6</v>
      </c>
      <c r="C10" s="2" t="inlineStr">
        <is>
          <t>Training dataset</t>
        </is>
      </c>
    </row>
    <row r="11">
      <c r="A11" s="2" t="n">
        <v>8</v>
      </c>
      <c r="B11" s="2" t="n">
        <v>102.1</v>
      </c>
      <c r="C11" s="2" t="inlineStr">
        <is>
          <t>Training dataset</t>
        </is>
      </c>
    </row>
    <row r="12">
      <c r="A12" s="2" t="n">
        <v>9</v>
      </c>
      <c r="B12" s="2" t="n">
        <v>98.8</v>
      </c>
      <c r="C12" s="2" t="inlineStr">
        <is>
          <t>Training dataset</t>
        </is>
      </c>
    </row>
    <row r="13">
      <c r="A13" s="2" t="n">
        <v>10</v>
      </c>
      <c r="B13" s="2" t="n">
        <v>99.5</v>
      </c>
      <c r="C13" s="2" t="inlineStr">
        <is>
          <t>Training dataset</t>
        </is>
      </c>
    </row>
    <row r="14">
      <c r="A14" s="2" t="n">
        <v>11</v>
      </c>
      <c r="B14" s="2" t="n">
        <v>101.4</v>
      </c>
      <c r="C14" s="2" t="inlineStr">
        <is>
          <t>Training dataset</t>
        </is>
      </c>
    </row>
    <row r="15">
      <c r="A15" s="2" t="n">
        <v>12</v>
      </c>
      <c r="B15" s="2" t="n">
        <v>100.2</v>
      </c>
      <c r="C15" s="2" t="inlineStr">
        <is>
          <t>Training dataset</t>
        </is>
      </c>
    </row>
    <row r="16">
      <c r="A16" s="2" t="n">
        <v>13</v>
      </c>
      <c r="B16" s="2" t="n">
        <v>97.59999999999999</v>
      </c>
      <c r="C16" s="2" t="inlineStr">
        <is>
          <t>Training dataset</t>
        </is>
      </c>
    </row>
    <row r="17">
      <c r="A17" s="2" t="n">
        <v>14</v>
      </c>
      <c r="B17" s="2" t="n">
        <v>98.90000000000001</v>
      </c>
      <c r="C17" s="2" t="inlineStr">
        <is>
          <t>Training dataset</t>
        </is>
      </c>
    </row>
    <row r="18">
      <c r="A18" s="2" t="n">
        <v>15</v>
      </c>
      <c r="B18" s="2" t="n">
        <v>100.7</v>
      </c>
      <c r="C18" s="2" t="inlineStr">
        <is>
          <t>Training dataset</t>
        </is>
      </c>
    </row>
    <row r="19">
      <c r="A19" s="2" t="n">
        <v>16</v>
      </c>
      <c r="B19" s="2" t="n">
        <v>101.8</v>
      </c>
      <c r="C19" s="2" t="inlineStr">
        <is>
          <t>Training dataset</t>
        </is>
      </c>
    </row>
    <row r="20">
      <c r="A20" s="2" t="n">
        <v>17</v>
      </c>
      <c r="B20" s="2" t="n">
        <v>99.40000000000001</v>
      </c>
      <c r="C20" s="2" t="inlineStr">
        <is>
          <t>Training dataset</t>
        </is>
      </c>
    </row>
    <row r="21">
      <c r="A21" s="2" t="n">
        <v>18</v>
      </c>
      <c r="B21" s="2" t="n">
        <v>100</v>
      </c>
      <c r="C21" s="2" t="inlineStr">
        <is>
          <t>Training dataset</t>
        </is>
      </c>
    </row>
    <row r="22">
      <c r="A22" s="2" t="n">
        <v>19</v>
      </c>
      <c r="B22" s="2" t="n">
        <v>102.4</v>
      </c>
      <c r="C22" s="2" t="inlineStr">
        <is>
          <t>Training dataset</t>
        </is>
      </c>
    </row>
    <row r="23">
      <c r="A23" s="2" t="n">
        <v>20</v>
      </c>
      <c r="B23" s="2" t="n">
        <v>98.5</v>
      </c>
      <c r="C23" s="2" t="inlineStr">
        <is>
          <t>Training dataset</t>
        </is>
      </c>
    </row>
    <row r="24">
      <c r="A24" s="2" t="n">
        <v>21</v>
      </c>
      <c r="B24" s="2" t="n">
        <v>99.7</v>
      </c>
      <c r="C24" s="2" t="inlineStr">
        <is>
          <t>Training dataset</t>
        </is>
      </c>
    </row>
    <row r="25">
      <c r="A25" s="2" t="n">
        <v>22</v>
      </c>
      <c r="B25" s="2" t="n">
        <v>100.9</v>
      </c>
      <c r="C25" s="2" t="inlineStr">
        <is>
          <t>Training dataset</t>
        </is>
      </c>
    </row>
    <row r="26">
      <c r="A26" s="2" t="n">
        <v>23</v>
      </c>
      <c r="B26" s="2" t="n">
        <v>101.2</v>
      </c>
      <c r="C26" s="2" t="inlineStr">
        <is>
          <t>Training dataset</t>
        </is>
      </c>
    </row>
    <row r="27">
      <c r="A27" s="2" t="n">
        <v>24</v>
      </c>
      <c r="B27" s="2" t="n">
        <v>97.8</v>
      </c>
      <c r="C27" s="2" t="inlineStr">
        <is>
          <t>Training dataset</t>
        </is>
      </c>
    </row>
    <row r="28">
      <c r="A28" s="2" t="n">
        <v>25</v>
      </c>
      <c r="B28" s="2" t="n">
        <v>99.2</v>
      </c>
      <c r="C28" s="2" t="inlineStr">
        <is>
          <t>Training dataset</t>
        </is>
      </c>
    </row>
    <row r="29">
      <c r="A29" s="2" t="n">
        <v>26</v>
      </c>
      <c r="B29" s="2" t="n">
        <v>100.3</v>
      </c>
      <c r="C29" s="2" t="inlineStr">
        <is>
          <t>Training dataset</t>
        </is>
      </c>
    </row>
    <row r="30">
      <c r="A30" s="2" t="n">
        <v>27</v>
      </c>
      <c r="B30" s="2" t="n">
        <v>101.6</v>
      </c>
      <c r="C30" s="2" t="inlineStr">
        <is>
          <t>Training dataset</t>
        </is>
      </c>
    </row>
    <row r="31">
      <c r="A31" s="2" t="n">
        <v>28</v>
      </c>
      <c r="B31" s="2" t="n">
        <v>98.7</v>
      </c>
      <c r="C31" s="2" t="inlineStr">
        <is>
          <t>Training dataset</t>
        </is>
      </c>
    </row>
    <row r="32">
      <c r="A32" s="2" t="n">
        <v>29</v>
      </c>
      <c r="B32" s="2" t="n">
        <v>99.90000000000001</v>
      </c>
      <c r="C32" s="2" t="inlineStr">
        <is>
          <t>Training dataset</t>
        </is>
      </c>
    </row>
    <row r="33">
      <c r="A33" s="2" t="n">
        <v>30</v>
      </c>
      <c r="B33" s="2" t="n">
        <v>100.8</v>
      </c>
      <c r="C33" s="2" t="inlineStr">
        <is>
          <t>Training dataset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8" customWidth="1" min="4" max="4"/>
    <col width="18" customWidth="1" min="5" max="5"/>
  </cols>
  <sheetData>
    <row r="1" ht="28" customHeight="1">
      <c r="A1" s="1" t="inlineStr">
        <is>
          <t>Capability Analysis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Metric</t>
        </is>
      </c>
      <c r="B3" s="3" t="inlineStr">
        <is>
          <t>Formula result</t>
        </is>
      </c>
      <c r="C3" s="3" t="inlineStr">
        <is>
          <t>Interpretation</t>
        </is>
      </c>
      <c r="D3" s="3" t="inlineStr">
        <is>
          <t>Threshold</t>
        </is>
      </c>
      <c r="E3" s="3" t="inlineStr">
        <is>
          <t>Status</t>
        </is>
      </c>
    </row>
    <row r="4">
      <c r="A4" s="4" t="inlineStr">
        <is>
          <t>Target</t>
        </is>
      </c>
      <c r="B4" s="4">
        <f>Instructions!B5</f>
        <v/>
      </c>
      <c r="C4" s="4" t="inlineStr">
        <is>
          <t>Nominal CD</t>
        </is>
      </c>
      <c r="D4" s="4" t="inlineStr">
        <is>
          <t>100 nm</t>
        </is>
      </c>
      <c r="E4" s="4">
        <f>IF(B4=100,"OK","CHECK")</f>
        <v/>
      </c>
    </row>
    <row r="5">
      <c r="A5" s="4" t="inlineStr">
        <is>
          <t>Mean</t>
        </is>
      </c>
      <c r="B5" s="4">
        <f>AVERAGE(Data!B4:B33)</f>
        <v/>
      </c>
      <c r="C5" s="4" t="inlineStr">
        <is>
          <t>Process centering</t>
        </is>
      </c>
      <c r="D5" s="4" t="inlineStr">
        <is>
          <t>Near target</t>
        </is>
      </c>
      <c r="E5" s="4">
        <f>IF(ABS(B5-B4)&lt;=1,"OK","SHIFTED")</f>
        <v/>
      </c>
    </row>
    <row r="6">
      <c r="A6" s="4" t="inlineStr">
        <is>
          <t>Sample stdev</t>
        </is>
      </c>
      <c r="B6" s="4">
        <f>STDEV(Data!B4:B33)</f>
        <v/>
      </c>
      <c r="C6" s="4" t="inlineStr">
        <is>
          <t>Process spread</t>
        </is>
      </c>
      <c r="D6" s="4" t="inlineStr">
        <is>
          <t>Lower is better</t>
        </is>
      </c>
      <c r="E6" s="4">
        <f>IF(B6&lt;=2,"OK","WIDE")</f>
        <v/>
      </c>
    </row>
    <row r="7">
      <c r="A7" s="4" t="inlineStr">
        <is>
          <t>Cp</t>
        </is>
      </c>
      <c r="B7" s="4">
        <f>(Instructions!B7-Instructions!B6)/(6*B6)</f>
        <v/>
      </c>
      <c r="C7" s="4" t="inlineStr">
        <is>
          <t>Potential capability</t>
        </is>
      </c>
      <c r="D7" s="4" t="inlineStr">
        <is>
          <t>&gt;= 1.33</t>
        </is>
      </c>
      <c r="E7" s="4">
        <f>IF(B7&gt;=1.33,"CAPABLE","NOT CAPABLE")</f>
        <v/>
      </c>
    </row>
    <row r="8">
      <c r="A8" s="4" t="inlineStr">
        <is>
          <t>Cpk</t>
        </is>
      </c>
      <c r="B8" s="4">
        <f>MIN((Instructions!B7-B5)/(3*B6),(B5-Instructions!B6)/(3*B6))</f>
        <v/>
      </c>
      <c r="C8" s="4" t="inlineStr">
        <is>
          <t>Actual capability</t>
        </is>
      </c>
      <c r="D8" s="4" t="inlineStr">
        <is>
          <t>&gt;= 1.33</t>
        </is>
      </c>
      <c r="E8" s="4">
        <f>IF(B8&gt;=1.33,"CAPABLE","NOT CAPABLE")</f>
        <v/>
      </c>
    </row>
    <row r="9">
      <c r="A9" s="4" t="inlineStr">
        <is>
          <t>Out of spec</t>
        </is>
      </c>
      <c r="B9" s="4" t="b">
        <v>0</v>
      </c>
      <c r="C9" s="4" t="inlineStr">
        <is>
          <t>Observed OOS count</t>
        </is>
      </c>
      <c r="D9" s="4" t="inlineStr">
        <is>
          <t>0</t>
        </is>
      </c>
      <c r="E9" s="4">
        <f>IF(B9=0,"OK","HOLD")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2026-08-19T17:35:54Z</dcterms:created>
  <dcterms:modified xmlns:dcterms="http://purl.org/dc/terms/" xmlns:xsi="http://www.w3.org/2001/XMLSchema-instance" xsi:type="dcterms:W3CDTF">2026-08-19T17:35:54Z</dcterms:modified>
</cp:coreProperties>
</file>