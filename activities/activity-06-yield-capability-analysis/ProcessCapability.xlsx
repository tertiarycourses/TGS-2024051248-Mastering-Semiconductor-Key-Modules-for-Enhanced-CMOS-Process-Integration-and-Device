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Data" sheetId="2" state="visible" r:id="rId4"/>
    <sheet name="Analysi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<sst xmlns="http://schemas.openxmlformats.org/spreadsheetml/2006/main" count="64" uniqueCount="33">
  <si>
    <t xml:space="preserve">Process Capability Activity</t>
  </si>
  <si>
    <t xml:space="preserve">Purpose</t>
  </si>
  <si>
    <t xml:space="preserve">Use dynamic formulas to evaluate gate-CD centering and spread. Change blue inputs only.</t>
  </si>
  <si>
    <t xml:space="preserve">Target</t>
  </si>
  <si>
    <t xml:space="preserve">LSL</t>
  </si>
  <si>
    <t xml:space="preserve">USL</t>
  </si>
  <si>
    <t xml:space="preserve">Gate CD Measurements</t>
  </si>
  <si>
    <t xml:space="preserve">Observation</t>
  </si>
  <si>
    <t xml:space="preserve">CD (nm)</t>
  </si>
  <si>
    <t xml:space="preserve">Source</t>
  </si>
  <si>
    <t xml:space="preserve">Training dataset</t>
  </si>
  <si>
    <t xml:space="preserve">Capability Analysis</t>
  </si>
  <si>
    <t xml:space="preserve">Metric</t>
  </si>
  <si>
    <t xml:space="preserve">Formula result</t>
  </si>
  <si>
    <t xml:space="preserve">Interpretation</t>
  </si>
  <si>
    <t xml:space="preserve">Threshold</t>
  </si>
  <si>
    <t xml:space="preserve">Status</t>
  </si>
  <si>
    <t xml:space="preserve">Nominal CD</t>
  </si>
  <si>
    <t xml:space="preserve">100 nm</t>
  </si>
  <si>
    <t xml:space="preserve">Mean</t>
  </si>
  <si>
    <t xml:space="preserve">Process centering</t>
  </si>
  <si>
    <t xml:space="preserve">Near target</t>
  </si>
  <si>
    <t xml:space="preserve">Sample stdev</t>
  </si>
  <si>
    <t xml:space="preserve">Process spread</t>
  </si>
  <si>
    <t xml:space="preserve">Lower is better</t>
  </si>
  <si>
    <t xml:space="preserve">Cp</t>
  </si>
  <si>
    <t xml:space="preserve">Potential capability</t>
  </si>
  <si>
    <t xml:space="preserve">&gt;= 1.33</t>
  </si>
  <si>
    <t xml:space="preserve">Cpk</t>
  </si>
  <si>
    <t xml:space="preserve">Actual capability</t>
  </si>
  <si>
    <t xml:space="preserve">Out of spec</t>
  </si>
  <si>
    <t xml:space="preserve">Observed OOS count</t>
  </si>
  <si>
    <t xml:space="preserve">0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</si>
</sst>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2344D"/>
        <bgColor rgb="FF333333"/>
      </patternFill>
    </fill>
    <fill>
      <patternFill patternType="solid">
        <fgColor rgb="FF10B981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5D1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2344D"/>
      <rgbColor rgb="FF10B98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Gate CD by Observation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Data!B3</c:f>
              <c:strCache>
                <c:ptCount val="1"/>
                <c:pt idx="0">
                  <c:v>CD (nm)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Data!$A$4:$A$33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Data!$B$4:$B$33</c:f>
              <c:numCache>
                <c:formatCode>General</c:formatCode>
                <c:ptCount val="30"/>
                <c:pt idx="0">
                  <c:v>98.2</c:v>
                </c:pt>
                <c:pt idx="1">
                  <c:v>99.1</c:v>
                </c:pt>
                <c:pt idx="2">
                  <c:v>100.4</c:v>
                </c:pt>
                <c:pt idx="3">
                  <c:v>101</c:v>
                </c:pt>
                <c:pt idx="4">
                  <c:v>97.9</c:v>
                </c:pt>
                <c:pt idx="5">
                  <c:v>99.8</c:v>
                </c:pt>
                <c:pt idx="6">
                  <c:v>100.6</c:v>
                </c:pt>
                <c:pt idx="7">
                  <c:v>102.1</c:v>
                </c:pt>
                <c:pt idx="8">
                  <c:v>98.8</c:v>
                </c:pt>
                <c:pt idx="9">
                  <c:v>99.5</c:v>
                </c:pt>
                <c:pt idx="10">
                  <c:v>101.4</c:v>
                </c:pt>
                <c:pt idx="11">
                  <c:v>100.2</c:v>
                </c:pt>
                <c:pt idx="12">
                  <c:v>97.6</c:v>
                </c:pt>
                <c:pt idx="13">
                  <c:v>98.9</c:v>
                </c:pt>
                <c:pt idx="14">
                  <c:v>100.7</c:v>
                </c:pt>
                <c:pt idx="15">
                  <c:v>101.8</c:v>
                </c:pt>
                <c:pt idx="16">
                  <c:v>99.4</c:v>
                </c:pt>
                <c:pt idx="17">
                  <c:v>100</c:v>
                </c:pt>
                <c:pt idx="18">
                  <c:v>102.4</c:v>
                </c:pt>
                <c:pt idx="19">
                  <c:v>98.5</c:v>
                </c:pt>
                <c:pt idx="20">
                  <c:v>99.7</c:v>
                </c:pt>
                <c:pt idx="21">
                  <c:v>100.9</c:v>
                </c:pt>
                <c:pt idx="22">
                  <c:v>101.2</c:v>
                </c:pt>
                <c:pt idx="23">
                  <c:v>97.8</c:v>
                </c:pt>
                <c:pt idx="24">
                  <c:v>99.2</c:v>
                </c:pt>
                <c:pt idx="25">
                  <c:v>100.3</c:v>
                </c:pt>
                <c:pt idx="26">
                  <c:v>101.6</c:v>
                </c:pt>
                <c:pt idx="27">
                  <c:v>98.7</c:v>
                </c:pt>
                <c:pt idx="28">
                  <c:v>99.9</c:v>
                </c:pt>
                <c:pt idx="29">
                  <c:v>100.8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316038"/>
        <c:axId val="80979624"/>
      </c:lineChart>
      <c:catAx>
        <c:axId val="583160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Observation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979624"/>
        <c:crosses val="autoZero"/>
        <c:auto val="1"/>
        <c:lblAlgn val="ctr"/>
        <c:lblOffset val="100"/>
        <c:noMultiLvlLbl val="0"/>
      </c:catAx>
      <c:valAx>
        <c:axId val="809796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CD (nm)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3160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14</xdr:col>
      <xdr:colOff>147600</xdr:colOff>
      <xdr:row>15</xdr:row>
      <xdr:rowOff>43200</xdr:rowOff>
    </xdr:to>
    <xdr:graphicFrame>
      <xdr:nvGraphicFramePr>
        <xdr:cNvPr id="1" name="Chart 1"/>
        <xdr:cNvGraphicFramePr/>
      </xdr:nvGraphicFramePr>
      <xdr:xfrm>
        <a:off x="7941960" y="5428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2" t="s">
        <v>1</v>
      </c>
      <c r="B3" s="2" t="s">
        <v>2</v>
      </c>
      <c r="C3" s="2"/>
      <c r="D3" s="2"/>
    </row>
    <row r="4" customFormat="false" ht="15" hidden="false" customHeight="false" outlineLevel="0" collapsed="false">
      <c r="A4" s="2"/>
      <c r="B4" s="2"/>
      <c r="C4" s="2"/>
      <c r="D4" s="2"/>
    </row>
    <row r="5" customFormat="false" ht="15" hidden="false" customHeight="false" outlineLevel="0" collapsed="false">
      <c r="A5" s="2" t="s">
        <v>3</v>
      </c>
      <c r="B5" s="2" t="n">
        <v>100</v>
      </c>
      <c r="C5" s="2"/>
      <c r="D5" s="2"/>
    </row>
    <row r="6" customFormat="false" ht="15" hidden="false" customHeight="false" outlineLevel="0" collapsed="false">
      <c r="A6" s="2" t="s">
        <v>4</v>
      </c>
      <c r="B6" s="2" t="n">
        <v>90</v>
      </c>
      <c r="C6" s="2"/>
      <c r="D6" s="2"/>
    </row>
    <row r="7" customFormat="false" ht="15" hidden="false" customHeight="false" outlineLevel="0" collapsed="false">
      <c r="A7" s="2" t="s">
        <v>5</v>
      </c>
      <c r="B7" s="2" t="n">
        <v>110</v>
      </c>
      <c r="C7" s="2"/>
      <c r="D7" s="2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8"/>
  </cols>
  <sheetData>
    <row r="1" customFormat="false" ht="27.75" hidden="false" customHeight="true" outlineLevel="0" collapsed="false">
      <c r="A1" s="1" t="s">
        <v>6</v>
      </c>
      <c r="B1" s="1"/>
      <c r="C1" s="1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3" t="s">
        <v>7</v>
      </c>
      <c r="B3" s="3" t="s">
        <v>8</v>
      </c>
      <c r="C3" s="3" t="s">
        <v>9</v>
      </c>
    </row>
    <row r="4" customFormat="false" ht="15" hidden="false" customHeight="false" outlineLevel="0" collapsed="false">
      <c r="A4" s="2" t="n">
        <v>1</v>
      </c>
      <c r="B4" s="2" t="n">
        <v>98.2</v>
      </c>
      <c r="C4" s="2" t="s">
        <v>10</v>
      </c>
    </row>
    <row r="5" customFormat="false" ht="15" hidden="false" customHeight="false" outlineLevel="0" collapsed="false">
      <c r="A5" s="2" t="n">
        <v>2</v>
      </c>
      <c r="B5" s="2" t="n">
        <v>99.1</v>
      </c>
      <c r="C5" s="2" t="s">
        <v>10</v>
      </c>
    </row>
    <row r="6" customFormat="false" ht="15" hidden="false" customHeight="false" outlineLevel="0" collapsed="false">
      <c r="A6" s="2" t="n">
        <v>3</v>
      </c>
      <c r="B6" s="2" t="n">
        <v>100.4</v>
      </c>
      <c r="C6" s="2" t="s">
        <v>10</v>
      </c>
    </row>
    <row r="7" customFormat="false" ht="15" hidden="false" customHeight="false" outlineLevel="0" collapsed="false">
      <c r="A7" s="2" t="n">
        <v>4</v>
      </c>
      <c r="B7" s="2" t="n">
        <v>101</v>
      </c>
      <c r="C7" s="2" t="s">
        <v>10</v>
      </c>
    </row>
    <row r="8" customFormat="false" ht="15" hidden="false" customHeight="false" outlineLevel="0" collapsed="false">
      <c r="A8" s="2" t="n">
        <v>5</v>
      </c>
      <c r="B8" s="2" t="n">
        <v>97.9</v>
      </c>
      <c r="C8" s="2" t="s">
        <v>10</v>
      </c>
    </row>
    <row r="9" customFormat="false" ht="15" hidden="false" customHeight="false" outlineLevel="0" collapsed="false">
      <c r="A9" s="2" t="n">
        <v>6</v>
      </c>
      <c r="B9" s="2" t="n">
        <v>99.8</v>
      </c>
      <c r="C9" s="2" t="s">
        <v>10</v>
      </c>
    </row>
    <row r="10" customFormat="false" ht="15" hidden="false" customHeight="false" outlineLevel="0" collapsed="false">
      <c r="A10" s="2" t="n">
        <v>7</v>
      </c>
      <c r="B10" s="2" t="n">
        <v>100.6</v>
      </c>
      <c r="C10" s="2" t="s">
        <v>10</v>
      </c>
    </row>
    <row r="11" customFormat="false" ht="15" hidden="false" customHeight="false" outlineLevel="0" collapsed="false">
      <c r="A11" s="2" t="n">
        <v>8</v>
      </c>
      <c r="B11" s="2" t="n">
        <v>102.1</v>
      </c>
      <c r="C11" s="2" t="s">
        <v>10</v>
      </c>
    </row>
    <row r="12" customFormat="false" ht="15" hidden="false" customHeight="false" outlineLevel="0" collapsed="false">
      <c r="A12" s="2" t="n">
        <v>9</v>
      </c>
      <c r="B12" s="2" t="n">
        <v>98.8</v>
      </c>
      <c r="C12" s="2" t="s">
        <v>10</v>
      </c>
    </row>
    <row r="13" customFormat="false" ht="15" hidden="false" customHeight="false" outlineLevel="0" collapsed="false">
      <c r="A13" s="2" t="n">
        <v>10</v>
      </c>
      <c r="B13" s="2" t="n">
        <v>99.5</v>
      </c>
      <c r="C13" s="2" t="s">
        <v>10</v>
      </c>
    </row>
    <row r="14" customFormat="false" ht="15" hidden="false" customHeight="false" outlineLevel="0" collapsed="false">
      <c r="A14" s="2" t="n">
        <v>11</v>
      </c>
      <c r="B14" s="2" t="n">
        <v>101.4</v>
      </c>
      <c r="C14" s="2" t="s">
        <v>10</v>
      </c>
    </row>
    <row r="15" customFormat="false" ht="15" hidden="false" customHeight="false" outlineLevel="0" collapsed="false">
      <c r="A15" s="2" t="n">
        <v>12</v>
      </c>
      <c r="B15" s="2" t="n">
        <v>100.2</v>
      </c>
      <c r="C15" s="2" t="s">
        <v>10</v>
      </c>
    </row>
    <row r="16" customFormat="false" ht="15" hidden="false" customHeight="false" outlineLevel="0" collapsed="false">
      <c r="A16" s="2" t="n">
        <v>13</v>
      </c>
      <c r="B16" s="2" t="n">
        <v>97.6</v>
      </c>
      <c r="C16" s="2" t="s">
        <v>10</v>
      </c>
    </row>
    <row r="17" customFormat="false" ht="15" hidden="false" customHeight="false" outlineLevel="0" collapsed="false">
      <c r="A17" s="2" t="n">
        <v>14</v>
      </c>
      <c r="B17" s="2" t="n">
        <v>98.9</v>
      </c>
      <c r="C17" s="2" t="s">
        <v>10</v>
      </c>
    </row>
    <row r="18" customFormat="false" ht="15" hidden="false" customHeight="false" outlineLevel="0" collapsed="false">
      <c r="A18" s="2" t="n">
        <v>15</v>
      </c>
      <c r="B18" s="2" t="n">
        <v>100.7</v>
      </c>
      <c r="C18" s="2" t="s">
        <v>10</v>
      </c>
    </row>
    <row r="19" customFormat="false" ht="15" hidden="false" customHeight="false" outlineLevel="0" collapsed="false">
      <c r="A19" s="2" t="n">
        <v>16</v>
      </c>
      <c r="B19" s="2" t="n">
        <v>101.8</v>
      </c>
      <c r="C19" s="2" t="s">
        <v>10</v>
      </c>
    </row>
    <row r="20" customFormat="false" ht="15" hidden="false" customHeight="false" outlineLevel="0" collapsed="false">
      <c r="A20" s="2" t="n">
        <v>17</v>
      </c>
      <c r="B20" s="2" t="n">
        <v>99.4</v>
      </c>
      <c r="C20" s="2" t="s">
        <v>10</v>
      </c>
    </row>
    <row r="21" customFormat="false" ht="15" hidden="false" customHeight="false" outlineLevel="0" collapsed="false">
      <c r="A21" s="2" t="n">
        <v>18</v>
      </c>
      <c r="B21" s="2" t="n">
        <v>100</v>
      </c>
      <c r="C21" s="2" t="s">
        <v>10</v>
      </c>
    </row>
    <row r="22" customFormat="false" ht="15" hidden="false" customHeight="false" outlineLevel="0" collapsed="false">
      <c r="A22" s="2" t="n">
        <v>19</v>
      </c>
      <c r="B22" s="2" t="n">
        <v>102.4</v>
      </c>
      <c r="C22" s="2" t="s">
        <v>10</v>
      </c>
    </row>
    <row r="23" customFormat="false" ht="15" hidden="false" customHeight="false" outlineLevel="0" collapsed="false">
      <c r="A23" s="2" t="n">
        <v>20</v>
      </c>
      <c r="B23" s="2" t="n">
        <v>98.5</v>
      </c>
      <c r="C23" s="2" t="s">
        <v>10</v>
      </c>
    </row>
    <row r="24" customFormat="false" ht="15" hidden="false" customHeight="false" outlineLevel="0" collapsed="false">
      <c r="A24" s="2" t="n">
        <v>21</v>
      </c>
      <c r="B24" s="2" t="n">
        <v>99.7</v>
      </c>
      <c r="C24" s="2" t="s">
        <v>10</v>
      </c>
    </row>
    <row r="25" customFormat="false" ht="15" hidden="false" customHeight="false" outlineLevel="0" collapsed="false">
      <c r="A25" s="2" t="n">
        <v>22</v>
      </c>
      <c r="B25" s="2" t="n">
        <v>100.9</v>
      </c>
      <c r="C25" s="2" t="s">
        <v>10</v>
      </c>
    </row>
    <row r="26" customFormat="false" ht="15" hidden="false" customHeight="false" outlineLevel="0" collapsed="false">
      <c r="A26" s="2" t="n">
        <v>23</v>
      </c>
      <c r="B26" s="2" t="n">
        <v>101.2</v>
      </c>
      <c r="C26" s="2" t="s">
        <v>10</v>
      </c>
    </row>
    <row r="27" customFormat="false" ht="15" hidden="false" customHeight="false" outlineLevel="0" collapsed="false">
      <c r="A27" s="2" t="n">
        <v>24</v>
      </c>
      <c r="B27" s="2" t="n">
        <v>97.8</v>
      </c>
      <c r="C27" s="2" t="s">
        <v>10</v>
      </c>
    </row>
    <row r="28" customFormat="false" ht="15" hidden="false" customHeight="false" outlineLevel="0" collapsed="false">
      <c r="A28" s="2" t="n">
        <v>25</v>
      </c>
      <c r="B28" s="2" t="n">
        <v>99.2</v>
      </c>
      <c r="C28" s="2" t="s">
        <v>10</v>
      </c>
    </row>
    <row r="29" customFormat="false" ht="15" hidden="false" customHeight="false" outlineLevel="0" collapsed="false">
      <c r="A29" s="2" t="n">
        <v>26</v>
      </c>
      <c r="B29" s="2" t="n">
        <v>100.3</v>
      </c>
      <c r="C29" s="2" t="s">
        <v>10</v>
      </c>
    </row>
    <row r="30" customFormat="false" ht="15" hidden="false" customHeight="false" outlineLevel="0" collapsed="false">
      <c r="A30" s="2" t="n">
        <v>27</v>
      </c>
      <c r="B30" s="2" t="n">
        <v>101.6</v>
      </c>
      <c r="C30" s="2" t="s">
        <v>10</v>
      </c>
    </row>
    <row r="31" customFormat="false" ht="15" hidden="false" customHeight="false" outlineLevel="0" collapsed="false">
      <c r="A31" s="2" t="n">
        <v>28</v>
      </c>
      <c r="B31" s="2" t="n">
        <v>98.7</v>
      </c>
      <c r="C31" s="2" t="s">
        <v>10</v>
      </c>
    </row>
    <row r="32" customFormat="false" ht="15" hidden="false" customHeight="false" outlineLevel="0" collapsed="false">
      <c r="A32" s="2" t="n">
        <v>29</v>
      </c>
      <c r="B32" s="2" t="n">
        <v>99.9</v>
      </c>
      <c r="C32" s="2" t="s">
        <v>10</v>
      </c>
    </row>
    <row r="33" customFormat="false" ht="15" hidden="false" customHeight="false" outlineLevel="0" collapsed="false">
      <c r="A33" s="2" t="n">
        <v>30</v>
      </c>
      <c r="B33" s="2" t="n">
        <v>100.8</v>
      </c>
      <c r="C33" s="2" t="s">
        <v>10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5" min="4" style="0" width="18"/>
  </cols>
  <sheetData>
    <row r="1" customFormat="false" ht="27.75" hidden="false" customHeight="true" outlineLevel="0" collapsed="false">
      <c r="A1" s="1" t="s">
        <v>11</v>
      </c>
      <c r="B1" s="1"/>
      <c r="C1" s="1"/>
      <c r="D1" s="1"/>
      <c r="E1" s="1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</row>
    <row r="4" customFormat="false" ht="15" hidden="false" customHeight="false" outlineLevel="0" collapsed="false">
      <c r="A4" s="4" t="s">
        <v>3</v>
      </c>
      <c r="B4" s="4" t="n">
        <f aca="false">Instructions!B5</f>
        <v>100</v>
      </c>
      <c r="C4" s="4" t="s">
        <v>17</v>
      </c>
      <c r="D4" s="4" t="s">
        <v>18</v>
      </c>
      <c r="E4" s="4" t="str">
        <f aca="false">IF(B4=100,"OK","CHECK")</f>
        <v>OK</v>
      </c>
    </row>
    <row r="5" customFormat="false" ht="15" hidden="false" customHeight="false" outlineLevel="0" collapsed="false">
      <c r="A5" s="4" t="s">
        <v>19</v>
      </c>
      <c r="B5" s="4" t="n">
        <f aca="false">AVERAGE(Data!B4:B33)</f>
        <v>99.9466666666667</v>
      </c>
      <c r="C5" s="4" t="s">
        <v>20</v>
      </c>
      <c r="D5" s="4" t="s">
        <v>21</v>
      </c>
      <c r="E5" s="4" t="str">
        <f aca="false">IF(ABS(B5-B4)&lt;=1,"OK","SHIFTED")</f>
        <v>OK</v>
      </c>
    </row>
    <row r="6" customFormat="false" ht="15" hidden="false" customHeight="false" outlineLevel="0" collapsed="false">
      <c r="A6" s="4" t="s">
        <v>22</v>
      </c>
      <c r="B6" s="4" t="n">
        <f aca="false">STDEV(Data!B4:B33)</f>
        <v>1.3119433685563</v>
      </c>
      <c r="C6" s="4" t="s">
        <v>23</v>
      </c>
      <c r="D6" s="4" t="s">
        <v>24</v>
      </c>
      <c r="E6" s="4" t="str">
        <f aca="false">IF(B6&lt;=2,"OK","WIDE")</f>
        <v>OK</v>
      </c>
    </row>
    <row r="7" customFormat="false" ht="15" hidden="false" customHeight="false" outlineLevel="0" collapsed="false">
      <c r="A7" s="4" t="s">
        <v>25</v>
      </c>
      <c r="B7" s="4" t="n">
        <f aca="false">(Instructions!B7-Instructions!B6)/(6*B6)</f>
        <v>2.54076007640591</v>
      </c>
      <c r="C7" s="4" t="s">
        <v>26</v>
      </c>
      <c r="D7" s="4" t="s">
        <v>27</v>
      </c>
      <c r="E7" s="4" t="str">
        <f aca="false">IF(B7&gt;=1.33,"CAPABLE","NOT CAPABLE")</f>
        <v>CAPABLE</v>
      </c>
    </row>
    <row r="8" customFormat="false" ht="15" hidden="false" customHeight="false" outlineLevel="0" collapsed="false">
      <c r="A8" s="4" t="s">
        <v>28</v>
      </c>
      <c r="B8" s="4" t="n">
        <f aca="false">MIN((Instructions!B7-B5)/(3*B6),(B5-Instructions!B6)/(3*B6))</f>
        <v>2.52720935599842</v>
      </c>
      <c r="C8" s="4" t="s">
        <v>29</v>
      </c>
      <c r="D8" s="4" t="s">
        <v>27</v>
      </c>
      <c r="E8" s="4" t="str">
        <f aca="false">IF(B8&gt;=1.33,"CAPABLE","NOT CAPABLE")</f>
        <v>CAPABLE</v>
      </c>
    </row>
    <row r="9" customFormat="false" ht="15" hidden="false" customHeight="false" outlineLevel="0" collapsed="false">
      <c r="A9" s="4" t="s">
        <v>30</v>
      </c>
      <c r="B9" s="5" t="b">
        <f aca="false">FALSE()</f>
        <v>0</v>
      </c>
      <c r="C9" s="4" t="s">
        <v>31</v>
      </c>
      <c r="D9" s="4" t="s">
        <v>32</v>
      </c>
      <c r="E9" s="4" t="str">
        <f aca="false">IF(B9=0,"OK","HOLD")</f>
        <v>OK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2026-08-19T16:22:21Z</dcterms:created>
  <dc:creator>openpyxl</dc:creator>
  <dc:description/>
  <dc:language>en-SG</dc:language>
  <cp:lastModifiedBy/>
  <dcterms:modified xsi:type="dcterms:W3CDTF">2026-08-20T00:23:24Z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